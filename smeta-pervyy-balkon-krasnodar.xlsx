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Материалы" sheetId="2" state="visible" r:id="rId2"/>
    <sheet name="Работы" sheetId="3" state="visible" r:id="rId3"/>
    <sheet name="Не входит в работы" sheetId="4" state="visible" r:id="rId4"/>
  </sheets>
  <definedNames>
    <definedName name="_xlnm.Print_Titles" localSheetId="0">'Сводка'!$1:$4</definedName>
    <definedName name="_xlnm._FilterDatabase" localSheetId="1" hidden="1">'Материалы'!$A$4:$K$26</definedName>
    <definedName name="_xlnm.Print_Titles" localSheetId="1">'Материалы'!$1:$4</definedName>
    <definedName name="_xlnm.Print_Titles" localSheetId="2">'Работы'!$1:$4</definedName>
    <definedName name="_xlnm.Print_Titles" localSheetId="3">'Не входит в работы'!$1:$4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 &quot;₽&quot;"/>
    <numFmt numFmtId="165" formatCode="0.00 &quot;₽&quot;"/>
    <numFmt numFmtId="166" formatCode="#,##0.00 &quot;₽&quot;"/>
    <numFmt numFmtId="167" formatCode="0.0"/>
  </numFmts>
  <fonts count="23">
    <font>
      <name val="Calibri"/>
      <family val="2"/>
      <color theme="1"/>
      <sz val="11"/>
      <scheme val="minor"/>
    </font>
    <font>
      <name val="Calibri"/>
      <b val="1"/>
      <color rgb="0026372F"/>
      <sz val="20"/>
    </font>
    <font>
      <name val="Calibri"/>
      <i val="1"/>
      <color rgb="00666666"/>
      <sz val="11"/>
    </font>
    <font>
      <name val="Calibri"/>
      <color rgb="00666666"/>
      <sz val="10"/>
    </font>
    <font>
      <name val="Calibri"/>
      <b val="1"/>
      <color rgb="00FFFFFF"/>
      <sz val="11"/>
    </font>
    <font>
      <name val="Calibri"/>
      <b val="1"/>
      <color rgb="0026372F"/>
      <sz val="18"/>
    </font>
    <font>
      <name val="Calibri"/>
      <b val="1"/>
      <color rgb="0026372F"/>
      <sz val="13"/>
    </font>
    <font>
      <name val="Calibri"/>
      <color rgb="00333333"/>
      <sz val="11"/>
    </font>
    <font>
      <name val="Calibri"/>
      <b val="1"/>
      <color rgb="00FFFFFF"/>
      <sz val="13"/>
    </font>
    <font>
      <name val="Calibri"/>
      <color rgb="007A1F1F"/>
      <sz val="11"/>
    </font>
    <font>
      <name val="Calibri"/>
      <color rgb="00555555"/>
      <sz val="10"/>
    </font>
    <font>
      <name val="Calibri"/>
      <i val="1"/>
      <color rgb="00B18B4B"/>
      <sz val="10"/>
    </font>
    <font>
      <name val="Calibri"/>
      <b val="1"/>
      <color rgb="00FFFFFF"/>
      <sz val="16"/>
    </font>
    <font>
      <name val="Calibri"/>
      <i val="1"/>
      <color rgb="00555555"/>
      <sz val="10"/>
    </font>
    <font>
      <name val="Calibri"/>
      <b val="1"/>
      <color rgb="00FFFFFF"/>
      <sz val="10"/>
    </font>
    <font>
      <name val="Calibri"/>
      <color rgb="00333333"/>
      <sz val="10"/>
    </font>
    <font>
      <name val="Calibri"/>
      <b val="1"/>
      <color rgb="00333333"/>
      <sz val="10"/>
    </font>
    <font>
      <name val="Calibri"/>
      <color rgb="000563C1"/>
      <sz val="10"/>
      <u val="single"/>
    </font>
    <font>
      <name val="Calibri"/>
      <b val="1"/>
      <color rgb="00FFFFFF"/>
      <sz val="12"/>
    </font>
    <font>
      <name val="Calibri"/>
      <color rgb="007A1F1F"/>
      <sz val="10"/>
    </font>
    <font>
      <name val="Calibri"/>
      <b val="1"/>
      <color rgb="007A1F1F"/>
      <sz val="10"/>
    </font>
    <font>
      <name val="Calibri"/>
      <i val="1"/>
      <color rgb="007A1F1F"/>
      <sz val="10"/>
    </font>
    <font>
      <name val="Calibri"/>
      <b val="1"/>
      <color rgb="007A1F1F"/>
      <sz val="11"/>
    </font>
  </fonts>
  <fills count="14">
    <fill>
      <patternFill/>
    </fill>
    <fill>
      <patternFill patternType="gray125"/>
    </fill>
    <fill>
      <patternFill patternType="solid">
        <fgColor rgb="0026372F"/>
      </patternFill>
    </fill>
    <fill>
      <patternFill patternType="solid">
        <fgColor rgb="00F3F0E7"/>
      </patternFill>
    </fill>
    <fill>
      <patternFill patternType="solid">
        <fgColor rgb="00B18B4B"/>
      </patternFill>
    </fill>
    <fill>
      <patternFill patternType="solid">
        <fgColor rgb="001F4E3D"/>
      </patternFill>
    </fill>
    <fill>
      <patternFill patternType="solid">
        <fgColor rgb="00F7EEDC"/>
      </patternFill>
    </fill>
    <fill>
      <patternFill patternType="solid">
        <fgColor rgb="008B2E2E"/>
      </patternFill>
    </fill>
    <fill>
      <patternFill patternType="solid">
        <fgColor rgb="00F8E1E1"/>
      </patternFill>
    </fill>
    <fill>
      <patternFill patternType="solid">
        <fgColor rgb="00E7F0EA"/>
      </patternFill>
    </fill>
    <fill>
      <patternFill patternType="solid">
        <fgColor rgb="00FFFFFF"/>
      </patternFill>
    </fill>
    <fill>
      <patternFill patternType="solid">
        <fgColor rgb="00FFF4D6"/>
      </patternFill>
    </fill>
    <fill>
      <patternFill patternType="solid">
        <fgColor rgb="00F5F5F5"/>
      </patternFill>
    </fill>
    <fill>
      <patternFill patternType="solid">
        <fgColor rgb="005C1A1A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164" fontId="5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6" fillId="6" borderId="0" pivotButton="0" quotePrefix="0" xfId="0"/>
    <xf numFmtId="0" fontId="7" fillId="0" borderId="0" applyAlignment="1" pivotButton="0" quotePrefix="0" xfId="0">
      <alignment vertical="top" wrapText="1"/>
    </xf>
    <xf numFmtId="0" fontId="8" fillId="7" borderId="0" applyAlignment="1" pivotButton="0" quotePrefix="0" xfId="0">
      <alignment horizontal="center" vertical="center" wrapText="1"/>
    </xf>
    <xf numFmtId="0" fontId="0" fillId="7" borderId="0" pivotButton="0" quotePrefix="0" xfId="0"/>
    <xf numFmtId="0" fontId="9" fillId="8" borderId="1" applyAlignment="1" pivotButton="0" quotePrefix="0" xfId="0">
      <alignment vertical="top" wrapText="1"/>
    </xf>
    <xf numFmtId="0" fontId="0" fillId="8" borderId="1" pivotButton="0" quotePrefix="0" xfId="0"/>
    <xf numFmtId="0" fontId="10" fillId="0" borderId="0" applyAlignment="1" pivotButton="0" quotePrefix="0" xfId="0">
      <alignment vertical="top" wrapText="1"/>
    </xf>
    <xf numFmtId="0" fontId="11" fillId="0" borderId="0" pivotButton="0" quotePrefix="0" xfId="0"/>
    <xf numFmtId="0" fontId="12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3" fillId="3" borderId="0" pivotButton="0" quotePrefix="0" xfId="0"/>
    <xf numFmtId="0" fontId="14" fillId="2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left" vertical="center" wrapText="1"/>
    </xf>
    <xf numFmtId="1" fontId="15" fillId="9" borderId="1" applyAlignment="1" pivotButton="0" quotePrefix="0" xfId="0">
      <alignment horizontal="center" vertical="center" wrapText="1"/>
    </xf>
    <xf numFmtId="164" fontId="15" fillId="9" borderId="1" applyAlignment="1" pivotButton="0" quotePrefix="0" xfId="0">
      <alignment horizontal="center" vertical="center" wrapText="1"/>
    </xf>
    <xf numFmtId="164" fontId="16" fillId="9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left" vertical="center" wrapText="1"/>
    </xf>
    <xf numFmtId="1" fontId="15" fillId="10" borderId="1" applyAlignment="1" pivotButton="0" quotePrefix="0" xfId="0">
      <alignment horizontal="center" vertical="center" wrapText="1"/>
    </xf>
    <xf numFmtId="164" fontId="15" fillId="10" borderId="1" applyAlignment="1" pivotButton="0" quotePrefix="0" xfId="0">
      <alignment horizontal="center" vertical="center" wrapText="1"/>
    </xf>
    <xf numFmtId="164" fontId="16" fillId="10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center" vertical="center" wrapText="1"/>
    </xf>
    <xf numFmtId="166" fontId="15" fillId="9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left" vertical="center" wrapText="1"/>
    </xf>
    <xf numFmtId="1" fontId="15" fillId="11" borderId="1" applyAlignment="1" pivotButton="0" quotePrefix="0" xfId="0">
      <alignment horizontal="center" vertical="center" wrapText="1"/>
    </xf>
    <xf numFmtId="164" fontId="15" fillId="11" borderId="1" applyAlignment="1" pivotButton="0" quotePrefix="0" xfId="0">
      <alignment horizontal="center" vertical="center" wrapText="1"/>
    </xf>
    <xf numFmtId="164" fontId="16" fillId="11" borderId="1" applyAlignment="1" pivotButton="0" quotePrefix="0" xfId="0">
      <alignment horizontal="center" vertical="center" wrapText="1"/>
    </xf>
    <xf numFmtId="0" fontId="17" fillId="11" borderId="1" applyAlignment="1" pivotButton="0" quotePrefix="0" xfId="0">
      <alignment horizontal="center" vertical="center" wrapText="1"/>
    </xf>
    <xf numFmtId="0" fontId="15" fillId="12" borderId="1" applyAlignment="1" pivotButton="0" quotePrefix="0" xfId="0">
      <alignment horizontal="center" vertical="center" wrapText="1"/>
    </xf>
    <xf numFmtId="0" fontId="15" fillId="12" borderId="1" applyAlignment="1" pivotButton="0" quotePrefix="0" xfId="0">
      <alignment horizontal="left" vertical="center" wrapText="1"/>
    </xf>
    <xf numFmtId="1" fontId="15" fillId="12" borderId="1" applyAlignment="1" pivotButton="0" quotePrefix="0" xfId="0">
      <alignment horizontal="center" vertical="center" wrapText="1"/>
    </xf>
    <xf numFmtId="164" fontId="15" fillId="12" borderId="1" applyAlignment="1" pivotButton="0" quotePrefix="0" xfId="0">
      <alignment horizontal="center" vertical="center" wrapText="1"/>
    </xf>
    <xf numFmtId="164" fontId="16" fillId="12" borderId="1" applyAlignment="1" pivotButton="0" quotePrefix="0" xfId="0">
      <alignment horizontal="center" vertical="center" wrapText="1"/>
    </xf>
    <xf numFmtId="0" fontId="17" fillId="12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right" vertical="center"/>
    </xf>
    <xf numFmtId="0" fontId="18" fillId="2" borderId="1" pivotButton="0" quotePrefix="0" xfId="0"/>
    <xf numFmtId="164" fontId="8" fillId="4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167" fontId="15" fillId="9" borderId="1" applyAlignment="1" pivotButton="0" quotePrefix="0" xfId="0">
      <alignment horizontal="center" vertical="center" wrapText="1"/>
    </xf>
    <xf numFmtId="167" fontId="15" fillId="10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right" vertical="center"/>
    </xf>
    <xf numFmtId="0" fontId="18" fillId="5" borderId="1" pivotButton="0" quotePrefix="0" xfId="0"/>
    <xf numFmtId="0" fontId="14" fillId="13" borderId="1" applyAlignment="1" pivotButton="0" quotePrefix="0" xfId="0">
      <alignment horizontal="center" vertical="center" wrapText="1"/>
    </xf>
    <xf numFmtId="0" fontId="0" fillId="13" borderId="1" pivotButton="0" quotePrefix="0" xfId="0"/>
    <xf numFmtId="0" fontId="19" fillId="8" borderId="1" applyAlignment="1" pivotButton="0" quotePrefix="0" xfId="0">
      <alignment horizontal="center" vertical="center" wrapText="1"/>
    </xf>
    <xf numFmtId="0" fontId="19" fillId="8" borderId="1" applyAlignment="1" pivotButton="0" quotePrefix="0" xfId="0">
      <alignment horizontal="left" vertical="center" wrapText="1"/>
    </xf>
    <xf numFmtId="0" fontId="19" fillId="8" borderId="1" pivotButton="0" quotePrefix="0" xfId="0"/>
    <xf numFmtId="0" fontId="20" fillId="11" borderId="0" applyAlignment="1" pivotButton="0" quotePrefix="0" xfId="0">
      <alignment vertical="center" wrapText="1"/>
    </xf>
    <xf numFmtId="0" fontId="0" fillId="11" borderId="0" pivotButton="0" quotePrefix="0" xfId="0"/>
    <xf numFmtId="0" fontId="12" fillId="7" borderId="0" applyAlignment="1" pivotButton="0" quotePrefix="0" xfId="0">
      <alignment horizontal="left" vertical="center"/>
    </xf>
    <xf numFmtId="0" fontId="21" fillId="8" borderId="0" pivotButton="0" quotePrefix="0" xfId="0"/>
    <xf numFmtId="0" fontId="20" fillId="8" borderId="1" applyAlignment="1" pivotButton="0" quotePrefix="0" xfId="0">
      <alignment horizontal="center" vertical="center" wrapText="1"/>
    </xf>
    <xf numFmtId="0" fontId="22" fillId="11" borderId="1" applyAlignment="1" pivotButton="0" quotePrefix="0" xfId="0">
      <alignment vertical="center" wrapText="1"/>
    </xf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rasnodar.lemanapro.ru/product/gipsokarton-125-mm-magma-2500x1200-3-m-87799205/" TargetMode="External" Id="rId1" /><Relationship Type="http://schemas.openxmlformats.org/officeDocument/2006/relationships/hyperlink" Target="https://krasnodar.lemanapro.ru/catalogue/utepliteli/" TargetMode="External" Id="rId2" /><Relationship Type="http://schemas.openxmlformats.org/officeDocument/2006/relationships/hyperlink" Target="https://krasnodar.lemanapro.ru/product/profil-potolochnyy-napravlyayushchiy-ppn-knauf-06-mm-28x27x3000-mm-12095326/" TargetMode="External" Id="rId3" /><Relationship Type="http://schemas.openxmlformats.org/officeDocument/2006/relationships/hyperlink" Target="https://krasnodar.lemanapro.ru/product/profil-potolochnyy-pp-knauf-06-mm-60x27x3000-mm-12095334/" TargetMode="External" Id="rId4" /><Relationship Type="http://schemas.openxmlformats.org/officeDocument/2006/relationships/hyperlink" Target="https://krasnodar.lemanapro.ru/product/podves-pryamoy-60x27-mm-l295-mm-09x120-mm-premium-14394434/" TargetMode="External" Id="rId5" /><Relationship Type="http://schemas.openxmlformats.org/officeDocument/2006/relationships/hyperlink" Target="https://krasnodar.lemanapro.ru/product/dyubel-gvozd-potaynoy-luchshaya-cena-polipropilen-6x40-mm-100-sht-88672428/" TargetMode="External" Id="rId6" /><Relationship Type="http://schemas.openxmlformats.org/officeDocument/2006/relationships/hyperlink" Target="https://krasnodar.lemanapro.ru/catalogue/samorezy/" TargetMode="External" Id="rId7" /><Relationship Type="http://schemas.openxmlformats.org/officeDocument/2006/relationships/hyperlink" Target="https://krasnodar.lemanapro.ru/catalogue/lenty-dlya-stykov-gipsokartona/" TargetMode="External" Id="rId8" /><Relationship Type="http://schemas.openxmlformats.org/officeDocument/2006/relationships/hyperlink" Target="https://krasnodar.lemanapro.ru/catalogue/klei/" TargetMode="External" Id="rId9" /><Relationship Type="http://schemas.openxmlformats.org/officeDocument/2006/relationships/hyperlink" Target="https://krasnodar.lemanapro.ru/product/shpaklevka-gipsovaya-finishnaya-volma-finish-20-kg-82034158/" TargetMode="External" Id="rId10" /><Relationship Type="http://schemas.openxmlformats.org/officeDocument/2006/relationships/hyperlink" Target="https://krasnodar.lemanapro.ru/product/kraska-dlya-sten-kuhni-i-vannoy-luxens-matovaya-cvet-belyy-baza-a-10-l-81963491/" TargetMode="External" Id="rId11" /><Relationship Type="http://schemas.openxmlformats.org/officeDocument/2006/relationships/hyperlink" Target="https://krasnodar.lemanapro.ru/catalogue/gruntovki/" TargetMode="External" Id="rId12" /><Relationship Type="http://schemas.openxmlformats.org/officeDocument/2006/relationships/hyperlink" Target="https://krasnodar.lemanapro.ru/catalogue/ekstrudirovannyy-penopolistirol-xps/" TargetMode="External" Id="rId13" /><Relationship Type="http://schemas.openxmlformats.org/officeDocument/2006/relationships/hyperlink" Target="https://krasnodar.lemanapro.ru/catalogue/dyubeli/" TargetMode="External" Id="rId14" /><Relationship Type="http://schemas.openxmlformats.org/officeDocument/2006/relationships/hyperlink" Target="https://krasnodar.lemanapro.ru/product/setka-klad-stekloplast-50x50-mm-2-mm-2-m-82471768/" TargetMode="External" Id="rId15" /><Relationship Type="http://schemas.openxmlformats.org/officeDocument/2006/relationships/hyperlink" Target="https://krasnodar.lemanapro.ru/product/styazhka-pola-osnovit-pro-25-kg-82142242/" TargetMode="External" Id="rId16" /><Relationship Type="http://schemas.openxmlformats.org/officeDocument/2006/relationships/hyperlink" Target="https://krasnodar.lemanapro.ru/product/profil-mayachkovyy-pm-premium-10-mm-ocinkovannyy-22x3000-mm-89474349/" TargetMode="External" Id="rId17" /><Relationship Type="http://schemas.openxmlformats.org/officeDocument/2006/relationships/hyperlink" Target="https://krasnodar.lemanapro.ru/catalogue/podokonniki-plastikovye/" TargetMode="External" Id="rId18" /><Relationship Type="http://schemas.openxmlformats.org/officeDocument/2006/relationships/hyperlink" Target="https://krasnodar.lemanapro.ru/catalogue/podokonniki-plastikovye/" TargetMode="External" Id="rId19" /><Relationship Type="http://schemas.openxmlformats.org/officeDocument/2006/relationships/hyperlink" Target="https://krasnodar.lemanapro.ru/product/pena-montazhnaya-makrofleks-originalnaya-pro-750-ml-92941611/" TargetMode="External" Id="rId20" /><Relationship Type="http://schemas.openxmlformats.org/officeDocument/2006/relationships/hyperlink" Target="https://krasnodar.lemanapro.ru/product/samorezy-po-metallu-dilwis-s-press-shayboy-so-sverlom-ocinkovannye-42x16-mm-70-sht-89386308/" TargetMode="External" Id="rId2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G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22" customWidth="1" min="4" max="4"/>
    <col width="16" customWidth="1" min="5" max="5"/>
    <col width="22" customWidth="1" min="6" max="6"/>
    <col width="16" customWidth="1" min="7" max="7"/>
    <col width="12" customWidth="1" min="8" max="8"/>
  </cols>
  <sheetData>
    <row r="1" ht="10" customHeight="1"/>
    <row r="2" ht="28" customHeight="1">
      <c r="B2" s="1" t="inlineStr">
        <is>
          <t>СМЕТА РАБОТ НА ДВА БАЛКОНА</t>
        </is>
      </c>
    </row>
    <row r="3">
      <c r="B3" s="2" t="inlineStr">
        <is>
          <t>Работы — средние расценки Краснодара  •  Подоконники не входят  •  Материалы — отдельный лист и корзина</t>
        </is>
      </c>
    </row>
    <row r="4">
      <c r="B4" s="3" t="inlineStr">
        <is>
          <t>Дата составления: 13 октября 2026  •  Объект: два балкона  •  Город: Краснодар</t>
        </is>
      </c>
    </row>
    <row r="6">
      <c r="B6" s="4" t="inlineStr">
        <is>
          <t>Работы, балкон 1</t>
        </is>
      </c>
      <c r="C6" s="5" t="n"/>
      <c r="D6" s="6" t="inlineStr">
        <is>
          <t>Работы, балкон 2</t>
        </is>
      </c>
      <c r="E6" s="7" t="n"/>
      <c r="F6" s="8" t="inlineStr">
        <is>
          <t>Работы, оба</t>
        </is>
      </c>
      <c r="G6" s="9" t="n"/>
    </row>
    <row r="7" ht="32" customHeight="1">
      <c r="B7" s="10" t="n">
        <v>22495</v>
      </c>
      <c r="C7" s="11" t="n"/>
      <c r="D7" s="10" t="n">
        <v>22495</v>
      </c>
      <c r="E7" s="11" t="n"/>
      <c r="F7" s="10" t="n">
        <v>44990</v>
      </c>
      <c r="G7" s="11" t="n"/>
    </row>
    <row r="9">
      <c r="B9" s="12" t="inlineStr">
        <is>
          <t>Откуда взяты объёмы</t>
        </is>
      </c>
    </row>
    <row r="10" ht="20" customHeight="1">
      <c r="B10" s="13" t="inlineStr">
        <is>
          <t>Объёмы по спискам материалов, без замера:
• каждый балкон: 3 листа ГКЛ = 9,0 м² стен/потолка (каркас, минвата, шпаклёвка, грунт, покраска);
• каждый балкон: 5 листов Пеноплэкс 50 мм ≈ 3,5 м² пола (утепление, сетка, стяжка);
• подоконники не делаются. Шпаклёвка/грунт/краска в корзине общие, работа — на каждом балконе.</t>
        </is>
      </c>
    </row>
    <row r="11" ht="20" customHeight="1"/>
    <row r="12" ht="20" customHeight="1"/>
    <row r="14">
      <c r="B14" s="14" t="inlineStr">
        <is>
          <t>НЕ ВХОДИТ В РАБОТЫ — важно</t>
        </is>
      </c>
      <c r="C14" s="15" t="n"/>
      <c r="D14" s="15" t="n"/>
      <c r="E14" s="15" t="n"/>
      <c r="F14" s="15" t="n"/>
      <c r="G14" s="15" t="n"/>
    </row>
    <row r="15" ht="18" customHeight="1">
      <c r="B15" s="16" t="inlineStr">
        <is>
          <t>• Демонтаж старой отделки, стяжки, подоконника и обшивки
• Остекление балкона, замена окна, откосы, отлив
• Электрика, свет, розетки, тёплый пол
• Чистовой пол: плитка, ламинат, линолеум, плинтус
• Гидроизоляция пола и парапета, пароизоляция
• Доставка материалов и вывоз строительного мусора
• Покраска/отделка ограждения с уличной стороны
• Согласования, технадзор, скрытые работы и непредвиденные объёмы</t>
        </is>
      </c>
      <c r="C15" s="17" t="n"/>
      <c r="D15" s="17" t="n"/>
      <c r="E15" s="17" t="n"/>
      <c r="F15" s="17" t="n"/>
      <c r="G15" s="17" t="n"/>
    </row>
    <row r="16">
      <c r="B16" s="17" t="n"/>
      <c r="C16" s="17" t="n"/>
      <c r="D16" s="17" t="n"/>
      <c r="E16" s="17" t="n"/>
      <c r="F16" s="17" t="n"/>
      <c r="G16" s="17" t="n"/>
    </row>
    <row r="17">
      <c r="B17" s="17" t="n"/>
      <c r="C17" s="17" t="n"/>
      <c r="D17" s="17" t="n"/>
      <c r="E17" s="17" t="n"/>
      <c r="F17" s="17" t="n"/>
      <c r="G17" s="17" t="n"/>
    </row>
    <row r="18">
      <c r="B18" s="17" t="n"/>
      <c r="C18" s="17" t="n"/>
      <c r="D18" s="17" t="n"/>
      <c r="E18" s="17" t="n"/>
      <c r="F18" s="17" t="n"/>
      <c r="G18" s="17" t="n"/>
    </row>
    <row r="19">
      <c r="B19" s="17" t="n"/>
      <c r="C19" s="17" t="n"/>
      <c r="D19" s="17" t="n"/>
      <c r="E19" s="17" t="n"/>
      <c r="F19" s="17" t="n"/>
      <c r="G19" s="17" t="n"/>
    </row>
    <row r="20">
      <c r="B20" s="17" t="n"/>
      <c r="C20" s="17" t="n"/>
      <c r="D20" s="17" t="n"/>
      <c r="E20" s="17" t="n"/>
      <c r="F20" s="17" t="n"/>
      <c r="G20" s="17" t="n"/>
    </row>
    <row r="21">
      <c r="B21" s="17" t="n"/>
      <c r="C21" s="17" t="n"/>
      <c r="D21" s="17" t="n"/>
      <c r="E21" s="17" t="n"/>
      <c r="F21" s="17" t="n"/>
      <c r="G21" s="17" t="n"/>
    </row>
    <row r="22">
      <c r="B22" s="17" t="n"/>
      <c r="C22" s="17" t="n"/>
      <c r="D22" s="17" t="n"/>
      <c r="E22" s="17" t="n"/>
      <c r="F22" s="17" t="n"/>
      <c r="G22" s="17" t="n"/>
    </row>
    <row r="24">
      <c r="B24" s="18" t="inlineStr">
        <is>
          <t>Примечания. Цены материалов — витрина krasnodar.lemanapro.ru на дату сметы; наличие нужно проверить в конкретном магазине Краснодара. Где точной фасовки нет, взята ближайшая замена (отмечено на листе «Материалы»). Расценки работ — среднее по открытым прайсам Краснодара на 2026 год, без материалов. После замера объёмы и итог могут измениться.</t>
        </is>
      </c>
    </row>
    <row r="25"/>
    <row r="26"/>
    <row r="28">
      <c r="B28" s="19" t="inlineStr">
        <is>
          <t>Листы файла:  Сводка  →  Материалы  →  Работы  →  Не входит в работы</t>
        </is>
      </c>
    </row>
  </sheetData>
  <mergeCells count="15">
    <mergeCell ref="B3:G3"/>
    <mergeCell ref="B2:G2"/>
    <mergeCell ref="B6:C6"/>
    <mergeCell ref="D6:E6"/>
    <mergeCell ref="B15:G22"/>
    <mergeCell ref="B24:G26"/>
    <mergeCell ref="D7:E7"/>
    <mergeCell ref="B7:C7"/>
    <mergeCell ref="B28:G28"/>
    <mergeCell ref="B14:G14"/>
    <mergeCell ref="B9:G9"/>
    <mergeCell ref="B4:G4"/>
    <mergeCell ref="F6:G6"/>
    <mergeCell ref="B10:G12"/>
    <mergeCell ref="F7:G7"/>
  </mergeCells>
  <pageMargins left="0.75" right="0.75" top="1" bottom="1" header="0.5" footer="0.5"/>
  <pageSetup orientation="landscape" paperSize="9" fitToHeight="1" fitToWidth="1"/>
  <headerFooter>
    <oddHeader>&amp;LДва балкона — смета работ</oddHeader>
    <oddFooter>&amp;LДва балкона, Краснодар&amp;C13.10.2026&amp;R&amp;P из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48" customWidth="1" min="3" max="3"/>
    <col width="14" customWidth="1" min="4" max="4"/>
    <col width="10" customWidth="1" min="5" max="5"/>
    <col width="10" customWidth="1" min="6" max="6"/>
    <col width="14" customWidth="1" min="7" max="7"/>
    <col width="14" customWidth="1" min="8" max="8"/>
    <col width="18" customWidth="1" min="9" max="9"/>
    <col width="42" customWidth="1" min="10" max="10"/>
    <col width="22" customWidth="1" min="11" max="11"/>
  </cols>
  <sheetData>
    <row r="1" ht="26" customHeight="1">
      <c r="A1" s="20" t="inlineStr">
        <is>
          <t>СМЕТА МАТЕРИАЛОВ  •  Лемана ПРО, Краснодар  •  ориентир по балкону 1; корзина — на оба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</row>
    <row r="2" ht="20" customHeight="1">
      <c r="A2" s="22" t="inlineStr">
        <is>
          <t>Магазин: Лемана ПРО, Краснодар. Перед покупкой уточните наличие в выбранном гипермаркете. Жёлтые строки — замена фасовки/бренда относительно исходного списка.</t>
        </is>
      </c>
    </row>
    <row r="4" ht="28" customHeight="1">
      <c r="A4" s="23" t="inlineStr">
        <is>
          <t>№</t>
        </is>
      </c>
      <c r="B4" s="23" t="inlineStr">
        <is>
          <t>По списку заказчика</t>
        </is>
      </c>
      <c r="C4" s="23" t="inlineStr">
        <is>
          <t>Товар в Лемана ПРО</t>
        </is>
      </c>
      <c r="D4" s="23" t="inlineStr">
        <is>
          <t>Артикул / код</t>
        </is>
      </c>
      <c r="E4" s="23" t="inlineStr">
        <is>
          <t>Ед.</t>
        </is>
      </c>
      <c r="F4" s="23" t="inlineStr">
        <is>
          <t>Кол-во</t>
        </is>
      </c>
      <c r="G4" s="23" t="inlineStr">
        <is>
          <t>Цена, ₽</t>
        </is>
      </c>
      <c r="H4" s="23" t="inlineStr">
        <is>
          <t>Сумма, ₽</t>
        </is>
      </c>
      <c r="I4" s="23" t="inlineStr">
        <is>
          <t>Статус</t>
        </is>
      </c>
      <c r="J4" s="23" t="inlineStr">
        <is>
          <t>Комментарий</t>
        </is>
      </c>
      <c r="K4" s="23" t="inlineStr">
        <is>
          <t>Ссылка</t>
        </is>
      </c>
    </row>
    <row r="5" ht="36" customHeight="1">
      <c r="A5" s="24" t="n">
        <v>1</v>
      </c>
      <c r="B5" s="25" t="inlineStr">
        <is>
          <t>3 листа гипсокартон 12,5 мм</t>
        </is>
      </c>
      <c r="C5" s="25" t="inlineStr">
        <is>
          <t>Гипсокартон 12,5 мм Магма 2500×1200 мм, 3 м²</t>
        </is>
      </c>
      <c r="D5" s="24" t="inlineStr">
        <is>
          <t>87799205</t>
        </is>
      </c>
      <c r="E5" s="24" t="inlineStr">
        <is>
          <t>лист</t>
        </is>
      </c>
      <c r="F5" s="26" t="n">
        <v>3</v>
      </c>
      <c r="G5" s="27" t="n">
        <v>387</v>
      </c>
      <c r="H5" s="28" t="n">
        <v>1161</v>
      </c>
      <c r="I5" s="24" t="inlineStr">
        <is>
          <t>как в списке</t>
        </is>
      </c>
      <c r="J5" s="25" t="inlineStr">
        <is>
          <t>Обычный ГКЛ, не влагостойкий</t>
        </is>
      </c>
      <c r="K5" s="29" t="inlineStr">
        <is>
          <t>Открыть карточку</t>
        </is>
      </c>
    </row>
    <row r="6" ht="36" customHeight="1">
      <c r="A6" s="30" t="n">
        <v>2</v>
      </c>
      <c r="B6" s="31" t="inlineStr">
        <is>
          <t>Утеплитель 2 упаковки, 50 мм</t>
        </is>
      </c>
      <c r="C6" s="31" t="inlineStr">
        <is>
          <t>Утеплитель Тисма 50 мм 600×8300 мм, 10 м²</t>
        </is>
      </c>
      <c r="D6" s="30" t="inlineStr">
        <is>
          <t>—</t>
        </is>
      </c>
      <c r="E6" s="30" t="inlineStr">
        <is>
          <t>упак.</t>
        </is>
      </c>
      <c r="F6" s="32" t="n">
        <v>2</v>
      </c>
      <c r="G6" s="33" t="n">
        <v>1094</v>
      </c>
      <c r="H6" s="34" t="n">
        <v>2188</v>
      </c>
      <c r="I6" s="30" t="inlineStr">
        <is>
          <t>как в списке</t>
        </is>
      </c>
      <c r="J6" s="31" t="inlineStr">
        <is>
          <t>2 упаковки ≈ 20 м² при потребности каркаса около 9 м²</t>
        </is>
      </c>
      <c r="K6" s="35" t="inlineStr">
        <is>
          <t>Открыть карточку</t>
        </is>
      </c>
    </row>
    <row r="7" ht="36" customHeight="1">
      <c r="A7" s="24" t="n">
        <v>3</v>
      </c>
      <c r="B7" s="25" t="inlineStr">
        <is>
          <t>Профиль начальный 27/28 — 7 шт</t>
        </is>
      </c>
      <c r="C7" s="25" t="inlineStr">
        <is>
          <t>Профиль потолочный направляющий (ППН) Knauf 0,6 мм 28×27×3000 мм</t>
        </is>
      </c>
      <c r="D7" s="24" t="inlineStr">
        <is>
          <t>12095326</t>
        </is>
      </c>
      <c r="E7" s="24" t="inlineStr">
        <is>
          <t>шт</t>
        </is>
      </c>
      <c r="F7" s="26" t="n">
        <v>7</v>
      </c>
      <c r="G7" s="27" t="n">
        <v>250</v>
      </c>
      <c r="H7" s="28" t="n">
        <v>1750</v>
      </c>
      <c r="I7" s="24" t="inlineStr">
        <is>
          <t>как в списке</t>
        </is>
      </c>
      <c r="J7" s="25" t="inlineStr">
        <is>
          <t>Направляющий профиль 3 м</t>
        </is>
      </c>
      <c r="K7" s="29" t="inlineStr">
        <is>
          <t>Открыть карточку</t>
        </is>
      </c>
    </row>
    <row r="8" ht="36" customHeight="1">
      <c r="A8" s="30" t="n">
        <v>4</v>
      </c>
      <c r="B8" s="31" t="inlineStr">
        <is>
          <t>Профиль потолочный — 5 шт</t>
        </is>
      </c>
      <c r="C8" s="31" t="inlineStr">
        <is>
          <t>Профиль потолочный (ПП) Knauf 0,6 мм 60×27×3000 мм</t>
        </is>
      </c>
      <c r="D8" s="30" t="inlineStr">
        <is>
          <t>12095334</t>
        </is>
      </c>
      <c r="E8" s="30" t="inlineStr">
        <is>
          <t>шт</t>
        </is>
      </c>
      <c r="F8" s="32" t="n">
        <v>5</v>
      </c>
      <c r="G8" s="33" t="n">
        <v>355</v>
      </c>
      <c r="H8" s="34" t="n">
        <v>1775</v>
      </c>
      <c r="I8" s="30" t="inlineStr">
        <is>
          <t>как в списке</t>
        </is>
      </c>
      <c r="J8" s="31" t="inlineStr">
        <is>
          <t>Несущий профиль 3 м</t>
        </is>
      </c>
      <c r="K8" s="35" t="inlineStr">
        <is>
          <t>Открыть карточку</t>
        </is>
      </c>
    </row>
    <row r="9" ht="36" customHeight="1">
      <c r="A9" s="24" t="n">
        <v>5</v>
      </c>
      <c r="B9" s="25" t="inlineStr">
        <is>
          <t>Жёсткий подвес — 50 шт</t>
        </is>
      </c>
      <c r="C9" s="25" t="inlineStr">
        <is>
          <t>Подвес прямой 60×27 мм, L.295 мм, 0,9×120 мм Премиум</t>
        </is>
      </c>
      <c r="D9" s="24" t="inlineStr">
        <is>
          <t>14394434</t>
        </is>
      </c>
      <c r="E9" s="24" t="inlineStr">
        <is>
          <t>шт</t>
        </is>
      </c>
      <c r="F9" s="26" t="n">
        <v>50</v>
      </c>
      <c r="G9" s="36" t="n">
        <v>8.800000000000001</v>
      </c>
      <c r="H9" s="28" t="n">
        <v>440.0000000000001</v>
      </c>
      <c r="I9" s="24" t="inlineStr">
        <is>
          <t>как в списке</t>
        </is>
      </c>
      <c r="J9" s="25" t="inlineStr">
        <is>
          <t>Жёсткий прямой подвес под ПП 60×27</t>
        </is>
      </c>
      <c r="K9" s="29" t="inlineStr">
        <is>
          <t>Открыть карточку</t>
        </is>
      </c>
    </row>
    <row r="10" ht="36" customHeight="1">
      <c r="A10" s="37" t="n">
        <v>6</v>
      </c>
      <c r="B10" s="38" t="inlineStr">
        <is>
          <t>Дюбель-гвоздь 6/40 — 150 шт</t>
        </is>
      </c>
      <c r="C10" s="38" t="inlineStr">
        <is>
          <t>Дюбель-гвоздь потайной полипропилен 6×40 мм, 100 шт</t>
        </is>
      </c>
      <c r="D10" s="37" t="inlineStr">
        <is>
          <t>88672428</t>
        </is>
      </c>
      <c r="E10" s="37" t="inlineStr">
        <is>
          <t>упак.</t>
        </is>
      </c>
      <c r="F10" s="39" t="n">
        <v>2</v>
      </c>
      <c r="G10" s="40" t="n">
        <v>148</v>
      </c>
      <c r="H10" s="41" t="n">
        <v>296</v>
      </c>
      <c r="I10" s="37" t="inlineStr">
        <is>
          <t>замена фасовки</t>
        </is>
      </c>
      <c r="J10" s="38" t="inlineStr">
        <is>
          <t>В списке 150 шт, в магазине пачки по 100 шт — купить 2 пачки = 200 шт</t>
        </is>
      </c>
      <c r="K10" s="42" t="inlineStr">
        <is>
          <t>Открыть карточку</t>
        </is>
      </c>
    </row>
    <row r="11" ht="36" customHeight="1">
      <c r="A11" s="37" t="n">
        <v>7</v>
      </c>
      <c r="B11" s="38" t="inlineStr">
        <is>
          <t>Саморезы по металлу — 300 шт</t>
        </is>
      </c>
      <c r="C11" s="38" t="inlineStr">
        <is>
          <t>Саморезы гипсокартон–металл Knauf 3,5×25 мм, 500 шт</t>
        </is>
      </c>
      <c r="D11" s="37" t="inlineStr">
        <is>
          <t>—</t>
        </is>
      </c>
      <c r="E11" s="37" t="inlineStr">
        <is>
          <t>упак.</t>
        </is>
      </c>
      <c r="F11" s="39" t="n">
        <v>1</v>
      </c>
      <c r="G11" s="40" t="n">
        <v>698</v>
      </c>
      <c r="H11" s="41" t="n">
        <v>698</v>
      </c>
      <c r="I11" s="37" t="inlineStr">
        <is>
          <t>замена фасовки</t>
        </is>
      </c>
      <c r="J11" s="38" t="inlineStr">
        <is>
          <t>Пачки 300 шт в Краснодаре не найдено, ближайшая — 500 шт</t>
        </is>
      </c>
      <c r="K11" s="42" t="inlineStr">
        <is>
          <t>Открыть карточку</t>
        </is>
      </c>
    </row>
    <row r="12" ht="36" customHeight="1">
      <c r="A12" s="30" t="n">
        <v>8</v>
      </c>
      <c r="B12" s="31" t="inlineStr">
        <is>
          <t>Бумажная лента 50 м — 1 шт</t>
        </is>
      </c>
      <c r="C12" s="31" t="inlineStr">
        <is>
          <t>Лента углоформирующая Rocks 50 мм × 50 м</t>
        </is>
      </c>
      <c r="D12" s="30" t="inlineStr">
        <is>
          <t>—</t>
        </is>
      </c>
      <c r="E12" s="30" t="inlineStr">
        <is>
          <t>шт</t>
        </is>
      </c>
      <c r="F12" s="32" t="n">
        <v>1</v>
      </c>
      <c r="G12" s="33" t="n">
        <v>175</v>
      </c>
      <c r="H12" s="34" t="n">
        <v>175</v>
      </c>
      <c r="I12" s="30" t="inlineStr">
        <is>
          <t>как в списке</t>
        </is>
      </c>
      <c r="J12" s="31" t="inlineStr">
        <is>
          <t>Бумажная лента для швов ГКЛ 50 м</t>
        </is>
      </c>
      <c r="K12" s="35" t="inlineStr">
        <is>
          <t>Открыть карточку</t>
        </is>
      </c>
    </row>
    <row r="13" ht="36" customHeight="1">
      <c r="A13" s="37" t="n">
        <v>9</v>
      </c>
      <c r="B13" s="38" t="inlineStr">
        <is>
          <t>Клей ПВА 1 литр</t>
        </is>
      </c>
      <c r="C13" s="38" t="inlineStr">
        <is>
          <t>Клей ПВА Момент Столяр универсальный 750 г</t>
        </is>
      </c>
      <c r="D13" s="37" t="inlineStr">
        <is>
          <t>—</t>
        </is>
      </c>
      <c r="E13" s="37" t="inlineStr">
        <is>
          <t>шт</t>
        </is>
      </c>
      <c r="F13" s="39" t="n">
        <v>1</v>
      </c>
      <c r="G13" s="40" t="n">
        <v>513</v>
      </c>
      <c r="H13" s="41" t="n">
        <v>513</v>
      </c>
      <c r="I13" s="37" t="inlineStr">
        <is>
          <t>замена фасовки</t>
        </is>
      </c>
      <c r="J13" s="38" t="inlineStr">
        <is>
          <t>Точной банки 1 л в выдаче Краснодара не было, ближайшая — 750 г</t>
        </is>
      </c>
      <c r="K13" s="42" t="inlineStr">
        <is>
          <t>Открыть карточку</t>
        </is>
      </c>
    </row>
    <row r="14" ht="36" customHeight="1">
      <c r="A14" s="37" t="n">
        <v>10</v>
      </c>
      <c r="B14" s="38" t="inlineStr">
        <is>
          <t>Шпаклёвка Сатентек 20 кг — 1 мешок</t>
        </is>
      </c>
      <c r="C14" s="38" t="inlineStr">
        <is>
          <t>Шпаклёвка гипсовая финишная Волма Финиш 20 кг</t>
        </is>
      </c>
      <c r="D14" s="37" t="inlineStr">
        <is>
          <t>82034158</t>
        </is>
      </c>
      <c r="E14" s="37" t="inlineStr">
        <is>
          <t>мешок</t>
        </is>
      </c>
      <c r="F14" s="39" t="n">
        <v>1</v>
      </c>
      <c r="G14" s="40" t="n">
        <v>478</v>
      </c>
      <c r="H14" s="41" t="n">
        <v>478</v>
      </c>
      <c r="I14" s="37" t="inlineStr">
        <is>
          <t>замена бренда</t>
        </is>
      </c>
      <c r="J14" s="38" t="inlineStr">
        <is>
          <t>Forman 20 кг в магазине нет. Гипсовая финишная — нормальная замена под покраску ГКЛ в сухом остеклённом балконе. Акция 478 ₽, без акции 582 ₽. Не для холодного балкона.</t>
        </is>
      </c>
      <c r="K14" s="42" t="inlineStr">
        <is>
          <t>Открыть карточку</t>
        </is>
      </c>
    </row>
    <row r="15" ht="36" customHeight="1">
      <c r="A15" s="37" t="n">
        <v>11</v>
      </c>
      <c r="B15" s="38" t="inlineStr">
        <is>
          <t>Краска 7 литров</t>
        </is>
      </c>
      <c r="C15" s="38" t="inlineStr">
        <is>
          <t>Краска для стен кухни и ванной Luxens матовая белая база А 10 л</t>
        </is>
      </c>
      <c r="D15" s="37" t="inlineStr">
        <is>
          <t>81963491</t>
        </is>
      </c>
      <c r="E15" s="37" t="inlineStr">
        <is>
          <t>шт</t>
        </is>
      </c>
      <c r="F15" s="39" t="n">
        <v>1</v>
      </c>
      <c r="G15" s="40" t="n">
        <v>3572</v>
      </c>
      <c r="H15" s="41" t="n">
        <v>3572</v>
      </c>
      <c r="I15" s="37" t="inlineStr">
        <is>
          <t>замена бренда</t>
        </is>
      </c>
      <c r="J15" s="38" t="inlineStr">
        <is>
          <t>У Absolute долгая доставка. Luxens — свой бренд Лемана, обычно на полке. Моющаяся, ГКЛ, 10 л. Не брать базу С (только под колеровку).</t>
        </is>
      </c>
      <c r="K15" s="42" t="inlineStr">
        <is>
          <t>Открыть карточку</t>
        </is>
      </c>
    </row>
    <row r="16" ht="36" customHeight="1">
      <c r="A16" s="30" t="n">
        <v>12</v>
      </c>
      <c r="B16" s="31" t="inlineStr">
        <is>
          <t>Грунтовка интерьерная 5 литров</t>
        </is>
      </c>
      <c r="C16" s="31" t="inlineStr">
        <is>
          <t>Грунтовка интерьерная Церезит IN-10, 5 л</t>
        </is>
      </c>
      <c r="D16" s="30" t="inlineStr">
        <is>
          <t>—</t>
        </is>
      </c>
      <c r="E16" s="30" t="inlineStr">
        <is>
          <t>шт</t>
        </is>
      </c>
      <c r="F16" s="32" t="n">
        <v>1</v>
      </c>
      <c r="G16" s="33" t="n">
        <v>812</v>
      </c>
      <c r="H16" s="34" t="n">
        <v>812</v>
      </c>
      <c r="I16" s="30" t="inlineStr">
        <is>
          <t>как в списке</t>
        </is>
      </c>
      <c r="J16" s="31" t="inlineStr">
        <is>
          <t>Интерьерный грунт 5 л</t>
        </is>
      </c>
      <c r="K16" s="35" t="inlineStr">
        <is>
          <t>Открыть карточку</t>
        </is>
      </c>
    </row>
    <row r="17" ht="36" customHeight="1">
      <c r="A17" s="24" t="n">
        <v>13</v>
      </c>
      <c r="B17" s="25" t="inlineStr">
        <is>
          <t>5 листов Пеноплэкс 5 см</t>
        </is>
      </c>
      <c r="C17" s="25" t="inlineStr">
        <is>
          <t>Пеноплэкс Стена Т-15 XPS 50 мм 585×1185 мм, 0,69 м²</t>
        </is>
      </c>
      <c r="D17" s="24" t="inlineStr">
        <is>
          <t>—</t>
        </is>
      </c>
      <c r="E17" s="24" t="inlineStr">
        <is>
          <t>лист</t>
        </is>
      </c>
      <c r="F17" s="26" t="n">
        <v>5</v>
      </c>
      <c r="G17" s="27" t="n">
        <v>404</v>
      </c>
      <c r="H17" s="28" t="n">
        <v>2020</v>
      </c>
      <c r="I17" s="24" t="inlineStr">
        <is>
          <t>как в списке</t>
        </is>
      </c>
      <c r="J17" s="25" t="inlineStr">
        <is>
          <t>5 листов ≈ 3,45 м² — на пол балкона</t>
        </is>
      </c>
      <c r="K17" s="29" t="inlineStr">
        <is>
          <t>Открыть карточку</t>
        </is>
      </c>
    </row>
    <row r="18" ht="36" customHeight="1">
      <c r="A18" s="30" t="n">
        <v>14</v>
      </c>
      <c r="B18" s="31" t="inlineStr">
        <is>
          <t>Грибы для утеплителя — 30 шт</t>
        </is>
      </c>
      <c r="C18" s="31" t="inlineStr">
        <is>
          <t>Дюбель для теплоизоляции 10×90 мм, 30 шт</t>
        </is>
      </c>
      <c r="D18" s="30" t="inlineStr">
        <is>
          <t>—</t>
        </is>
      </c>
      <c r="E18" s="30" t="inlineStr">
        <is>
          <t>упак.</t>
        </is>
      </c>
      <c r="F18" s="32" t="n">
        <v>1</v>
      </c>
      <c r="G18" s="33" t="n">
        <v>198</v>
      </c>
      <c r="H18" s="34" t="n">
        <v>198</v>
      </c>
      <c r="I18" s="30" t="inlineStr">
        <is>
          <t>как в списке</t>
        </is>
      </c>
      <c r="J18" s="31" t="inlineStr">
        <is>
          <t>Фасовка ровно 30 шт</t>
        </is>
      </c>
      <c r="K18" s="35" t="inlineStr">
        <is>
          <t>Открыть карточку</t>
        </is>
      </c>
    </row>
    <row r="19" ht="36" customHeight="1">
      <c r="A19" s="37" t="n">
        <v>15</v>
      </c>
      <c r="B19" s="38" t="inlineStr">
        <is>
          <t>Сетка композитная 50×50, 2 м × 50 см — 4 шт</t>
        </is>
      </c>
      <c r="C19" s="38" t="inlineStr">
        <is>
          <t>Сетка клад. стеклопласт 50×50 мм Ø2 мм, 0,5×2 м</t>
        </is>
      </c>
      <c r="D19" s="37" t="inlineStr">
        <is>
          <t>82471768</t>
        </is>
      </c>
      <c r="E19" s="37" t="inlineStr">
        <is>
          <t>шт</t>
        </is>
      </c>
      <c r="F19" s="39" t="n">
        <v>4</v>
      </c>
      <c r="G19" s="40" t="n">
        <v>80</v>
      </c>
      <c r="H19" s="41" t="n">
        <v>320</v>
      </c>
      <c r="I19" s="37" t="inlineStr">
        <is>
          <t>замена бренда</t>
        </is>
      </c>
      <c r="J19" s="38" t="inlineStr">
        <is>
          <t>Композитной 86750000 в магазине нет. Та же карта 0,5×2 м, ячейка 50×50, пруток 2 мм — для стяжки на балконе подходит.</t>
        </is>
      </c>
      <c r="K19" s="42" t="inlineStr">
        <is>
          <t>Открыть карточку</t>
        </is>
      </c>
    </row>
    <row r="20" ht="36" customHeight="1">
      <c r="A20" s="37" t="n">
        <v>16</v>
      </c>
      <c r="B20" s="38" t="inlineStr">
        <is>
          <t>Стяжка 30 кг — 8 мешков</t>
        </is>
      </c>
      <c r="C20" s="38" t="inlineStr">
        <is>
          <t>Стяжка пола Основит Pro 25 кг</t>
        </is>
      </c>
      <c r="D20" s="37" t="inlineStr">
        <is>
          <t>82142242</t>
        </is>
      </c>
      <c r="E20" s="37" t="inlineStr">
        <is>
          <t>мешок</t>
        </is>
      </c>
      <c r="F20" s="39" t="n">
        <v>8</v>
      </c>
      <c r="G20" s="40" t="n">
        <v>330</v>
      </c>
      <c r="H20" s="41" t="n">
        <v>2640</v>
      </c>
      <c r="I20" s="37" t="inlineStr">
        <is>
          <t>замена бренда</t>
        </is>
      </c>
      <c r="J20" s="38" t="inlineStr">
        <is>
          <t>Стимул П-77 в магазине нет. Цементная с фиброй, слой 20–200 мм — на Пеноплэкс подходит. 8×25 кг ≈ 3 см на 3,5 м².</t>
        </is>
      </c>
      <c r="K20" s="42" t="inlineStr">
        <is>
          <t>Открыть карточку</t>
        </is>
      </c>
    </row>
    <row r="21" ht="36" customHeight="1">
      <c r="A21" s="37" t="n">
        <v>17</v>
      </c>
      <c r="B21" s="38" t="inlineStr">
        <is>
          <t>Маяк 10 мм пластиковый — 2 шт</t>
        </is>
      </c>
      <c r="C21" s="38" t="inlineStr">
        <is>
          <t>Профиль маячковый (ПМ) Премиум 10 мм оцинк. 22×3000 мм</t>
        </is>
      </c>
      <c r="D21" s="37" t="inlineStr">
        <is>
          <t>89474349</t>
        </is>
      </c>
      <c r="E21" s="37" t="inlineStr">
        <is>
          <t>шт</t>
        </is>
      </c>
      <c r="F21" s="39" t="n">
        <v>2</v>
      </c>
      <c r="G21" s="40" t="n">
        <v>55</v>
      </c>
      <c r="H21" s="41" t="n">
        <v>110</v>
      </c>
      <c r="I21" s="37" t="inlineStr">
        <is>
          <t>частичная замена</t>
        </is>
      </c>
      <c r="J21" s="38" t="inlineStr">
        <is>
          <t>22 мм — ширина полки, 10 мм — высота (то что нужно). Пластикового нет, оцинкованный 10 мм / 3 м ставится на раствор до слоя ~3 см.</t>
        </is>
      </c>
      <c r="K21" s="42" t="inlineStr">
        <is>
          <t>Открыть карточку</t>
        </is>
      </c>
    </row>
    <row r="22" ht="36" customHeight="1">
      <c r="A22" s="43" t="n">
        <v>18</v>
      </c>
      <c r="B22" s="44" t="inlineStr">
        <is>
          <t>Подоконник 1,5 м × 20 см — 1 шт</t>
        </is>
      </c>
      <c r="C22" s="44" t="inlineStr">
        <is>
          <t>Подоконник ПВХ 1500×200 мм, белый</t>
        </is>
      </c>
      <c r="D22" s="43" t="inlineStr">
        <is>
          <t>—</t>
        </is>
      </c>
      <c r="E22" s="43" t="inlineStr">
        <is>
          <t>шт</t>
        </is>
      </c>
      <c r="F22" s="45" t="n">
        <v>0</v>
      </c>
      <c r="G22" s="46" t="n">
        <v>360</v>
      </c>
      <c r="H22" s="47" t="n">
        <v>0</v>
      </c>
      <c r="I22" s="43" t="inlineStr">
        <is>
          <t>не делается</t>
        </is>
      </c>
      <c r="J22" s="44" t="inlineStr">
        <is>
          <t>Заказчик подтвердил: подоконник не покупать и не монтировать</t>
        </is>
      </c>
      <c r="K22" s="48" t="inlineStr">
        <is>
          <t>Открыть карточку</t>
        </is>
      </c>
    </row>
    <row r="23" ht="36" customHeight="1">
      <c r="A23" s="43" t="n">
        <v>19</v>
      </c>
      <c r="B23" s="44" t="inlineStr">
        <is>
          <t>Заглушка подоконника — 1 шт</t>
        </is>
      </c>
      <c r="C23" s="44" t="inlineStr">
        <is>
          <t>Заглушка для подоконника ПВХ двухсторонняя</t>
        </is>
      </c>
      <c r="D23" s="43" t="inlineStr">
        <is>
          <t>—</t>
        </is>
      </c>
      <c r="E23" s="43" t="inlineStr">
        <is>
          <t>шт</t>
        </is>
      </c>
      <c r="F23" s="45" t="n">
        <v>0</v>
      </c>
      <c r="G23" s="46" t="n">
        <v>20</v>
      </c>
      <c r="H23" s="47" t="n">
        <v>0</v>
      </c>
      <c r="I23" s="43" t="inlineStr">
        <is>
          <t>не делается</t>
        </is>
      </c>
      <c r="J23" s="44" t="inlineStr">
        <is>
          <t>Заглушка к подоконнику не нужна</t>
        </is>
      </c>
      <c r="K23" s="48" t="inlineStr">
        <is>
          <t>Открыть карточку</t>
        </is>
      </c>
    </row>
    <row r="24" ht="36" customHeight="1">
      <c r="A24" s="30" t="n">
        <v>20</v>
      </c>
      <c r="B24" s="31" t="inlineStr">
        <is>
          <t>Пена под пистолет — 1 шт</t>
        </is>
      </c>
      <c r="C24" s="31" t="inlineStr">
        <is>
          <t>Пена монтажная Макрофлекс оригинальная ПРО 750 мл</t>
        </is>
      </c>
      <c r="D24" s="30" t="inlineStr">
        <is>
          <t>92941611</t>
        </is>
      </c>
      <c r="E24" s="30" t="inlineStr">
        <is>
          <t>шт</t>
        </is>
      </c>
      <c r="F24" s="32" t="n">
        <v>1</v>
      </c>
      <c r="G24" s="33" t="n">
        <v>990</v>
      </c>
      <c r="H24" s="34" t="n">
        <v>990</v>
      </c>
      <c r="I24" s="30" t="inlineStr">
        <is>
          <t>как в списке</t>
        </is>
      </c>
      <c r="J24" s="31" t="inlineStr">
        <is>
          <t>Профессиональная пена под пистолет</t>
        </is>
      </c>
      <c r="K24" s="35" t="inlineStr">
        <is>
          <t>Открыть карточку</t>
        </is>
      </c>
    </row>
    <row r="25" ht="36" customHeight="1">
      <c r="A25" s="37" t="n">
        <v>21</v>
      </c>
      <c r="B25" s="38" t="inlineStr">
        <is>
          <t>Саморез пресс-шайба 16 мм — 150 шт</t>
        </is>
      </c>
      <c r="C25" s="38" t="inlineStr">
        <is>
          <t>Саморезы DILWIS с пресс-шайбой 4,2×16 мм, 70 шт</t>
        </is>
      </c>
      <c r="D25" s="37" t="inlineStr">
        <is>
          <t>89386308</t>
        </is>
      </c>
      <c r="E25" s="37" t="inlineStr">
        <is>
          <t>упак.</t>
        </is>
      </c>
      <c r="F25" s="39" t="n">
        <v>3</v>
      </c>
      <c r="G25" s="40" t="n">
        <v>64</v>
      </c>
      <c r="H25" s="41" t="n">
        <v>192</v>
      </c>
      <c r="I25" s="37" t="inlineStr">
        <is>
          <t>замена фасовки</t>
        </is>
      </c>
      <c r="J25" s="38" t="inlineStr">
        <is>
          <t>Пачки 150 шт нет, 3×70 = 210 шт</t>
        </is>
      </c>
      <c r="K25" s="42" t="inlineStr">
        <is>
          <t>Открыть карточку</t>
        </is>
      </c>
    </row>
    <row r="26" ht="24" customHeight="1">
      <c r="A26" s="49" t="inlineStr">
        <is>
          <t>ИТОГО МАТЕРИАЛЫ</t>
        </is>
      </c>
      <c r="B26" s="50" t="n"/>
      <c r="C26" s="50" t="n"/>
      <c r="D26" s="50" t="n"/>
      <c r="E26" s="50" t="n"/>
      <c r="F26" s="50" t="n"/>
      <c r="G26" s="50" t="n"/>
      <c r="H26" s="51">
        <f>SUM(H5:H25)</f>
        <v/>
      </c>
      <c r="I26" s="5" t="n"/>
      <c r="J26" s="5" t="n"/>
      <c r="K26" s="5" t="n"/>
    </row>
    <row r="28">
      <c r="A28" s="18" t="inlineStr">
        <is>
          <t>Жёлтым отмечены замены: нет точной фасовки или бренда в каталоге Лемана ПРО Краснодар. Подоконник и заглушка исключены (0 ₽). Итог листа — ориентир витрины по балкону 1, не счёт к оплате. Доставка не входит. Корзина на оба балкона — отдельно.</t>
        </is>
      </c>
    </row>
    <row r="29"/>
    <row r="30"/>
  </sheetData>
  <autoFilter ref="A4:K26"/>
  <mergeCells count="4">
    <mergeCell ref="A2:K2"/>
    <mergeCell ref="A26:G26"/>
    <mergeCell ref="A1:K1"/>
    <mergeCell ref="A28:K30"/>
  </mergeCells>
  <hyperlinks>
    <hyperlink xmlns:r="http://schemas.openxmlformats.org/officeDocument/2006/relationships" ref="K5" r:id="rId1"/>
    <hyperlink xmlns:r="http://schemas.openxmlformats.org/officeDocument/2006/relationships" ref="K6" r:id="rId2"/>
    <hyperlink xmlns:r="http://schemas.openxmlformats.org/officeDocument/2006/relationships" ref="K7" r:id="rId3"/>
    <hyperlink xmlns:r="http://schemas.openxmlformats.org/officeDocument/2006/relationships" ref="K8" r:id="rId4"/>
    <hyperlink xmlns:r="http://schemas.openxmlformats.org/officeDocument/2006/relationships" ref="K9" r:id="rId5"/>
    <hyperlink xmlns:r="http://schemas.openxmlformats.org/officeDocument/2006/relationships" ref="K10" r:id="rId6"/>
    <hyperlink xmlns:r="http://schemas.openxmlformats.org/officeDocument/2006/relationships" ref="K11" r:id="rId7"/>
    <hyperlink xmlns:r="http://schemas.openxmlformats.org/officeDocument/2006/relationships" ref="K12" r:id="rId8"/>
    <hyperlink xmlns:r="http://schemas.openxmlformats.org/officeDocument/2006/relationships" ref="K13" r:id="rId9"/>
    <hyperlink xmlns:r="http://schemas.openxmlformats.org/officeDocument/2006/relationships" ref="K14" r:id="rId10"/>
    <hyperlink xmlns:r="http://schemas.openxmlformats.org/officeDocument/2006/relationships" ref="K15" r:id="rId11"/>
    <hyperlink xmlns:r="http://schemas.openxmlformats.org/officeDocument/2006/relationships" ref="K16" r:id="rId12"/>
    <hyperlink xmlns:r="http://schemas.openxmlformats.org/officeDocument/2006/relationships" ref="K17" r:id="rId13"/>
    <hyperlink xmlns:r="http://schemas.openxmlformats.org/officeDocument/2006/relationships" ref="K18" r:id="rId14"/>
    <hyperlink xmlns:r="http://schemas.openxmlformats.org/officeDocument/2006/relationships" ref="K19" r:id="rId15"/>
    <hyperlink xmlns:r="http://schemas.openxmlformats.org/officeDocument/2006/relationships" ref="K20" r:id="rId16"/>
    <hyperlink xmlns:r="http://schemas.openxmlformats.org/officeDocument/2006/relationships" ref="K21" r:id="rId17"/>
    <hyperlink xmlns:r="http://schemas.openxmlformats.org/officeDocument/2006/relationships" ref="K22" r:id="rId18"/>
    <hyperlink xmlns:r="http://schemas.openxmlformats.org/officeDocument/2006/relationships" ref="K23" r:id="rId19"/>
    <hyperlink xmlns:r="http://schemas.openxmlformats.org/officeDocument/2006/relationships" ref="K24" r:id="rId20"/>
    <hyperlink xmlns:r="http://schemas.openxmlformats.org/officeDocument/2006/relationships" ref="K25" r:id="rId21"/>
  </hyperlinks>
  <pageMargins left="0.75" right="0.75" top="1" bottom="1" header="0.5" footer="0.5"/>
  <pageSetup orientation="landscape" paperSize="9" fitToHeight="1" fitToWidth="1"/>
  <headerFooter>
    <oddHeader>&amp;LМатериалы — Лемана ПРО, Краснодар</oddHeader>
    <oddFooter>&amp;LДва балкона, Краснодар&amp;C13.10.2026&amp;R&amp;P из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32" customWidth="1" min="3" max="3"/>
    <col width="10" customWidth="1" min="4" max="4"/>
    <col width="10" customWidth="1" min="5" max="5"/>
    <col width="14" customWidth="1" min="6" max="6"/>
    <col width="14" customWidth="1" min="7" max="7"/>
    <col width="42" customWidth="1" min="8" max="8"/>
  </cols>
  <sheetData>
    <row r="1" ht="26" customHeight="1">
      <c r="A1" s="20" t="inlineStr">
        <is>
          <t>СМЕТА РАБОТ  •  средние цены Краснодара  •  два балкона</t>
        </is>
      </c>
      <c r="B1" s="21" t="n"/>
      <c r="C1" s="21" t="n"/>
      <c r="D1" s="21" t="n"/>
      <c r="E1" s="21" t="n"/>
      <c r="F1" s="21" t="n"/>
      <c r="G1" s="21" t="n"/>
      <c r="H1" s="21" t="n"/>
    </row>
    <row r="2">
      <c r="A2" s="22" t="inlineStr">
        <is>
          <t>Только работа, без материалов. Ставки — среднее по открытым прайсам Краснодара на 2026 год. Подоконники не входят. Шпаклёвка, грунт и покраска — на каждом балконе, материалы в корзине общие.</t>
        </is>
      </c>
    </row>
    <row r="4" ht="22" customHeight="1">
      <c r="A4" s="52" t="inlineStr">
        <is>
          <t>БАЛКОН 1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3" t="inlineStr">
        <is>
          <t>№</t>
        </is>
      </c>
      <c r="B5" s="23" t="inlineStr">
        <is>
          <t>Вид работ</t>
        </is>
      </c>
      <c r="C5" s="23" t="inlineStr">
        <is>
          <t>Обоснование объёма</t>
        </is>
      </c>
      <c r="D5" s="23" t="inlineStr">
        <is>
          <t>Ед.</t>
        </is>
      </c>
      <c r="E5" s="23" t="inlineStr">
        <is>
          <t>Кол-во</t>
        </is>
      </c>
      <c r="F5" s="23" t="inlineStr">
        <is>
          <t>Ставка, ₽</t>
        </is>
      </c>
      <c r="G5" s="23" t="inlineStr">
        <is>
          <t>Сумма, ₽</t>
        </is>
      </c>
      <c r="H5" s="23" t="inlineStr">
        <is>
          <t>Примечание</t>
        </is>
      </c>
    </row>
    <row r="6" ht="38" customHeight="1">
      <c r="A6" s="24" t="n">
        <v>1</v>
      </c>
      <c r="B6" s="25" t="inlineStr">
        <is>
          <t>Каркас из ППН 27/28 и ПП 60/27, жёсткие подвесы, обшивка ГКЛ 12,5 мм</t>
        </is>
      </c>
      <c r="C6" s="25" t="inlineStr">
        <is>
          <t>3 листа ГКЛ × 3 м² = 9,0 м²</t>
        </is>
      </c>
      <c r="D6" s="24" t="inlineStr">
        <is>
          <t>м²</t>
        </is>
      </c>
      <c r="E6" s="53" t="n">
        <v>9</v>
      </c>
      <c r="F6" s="27" t="n">
        <v>650</v>
      </c>
      <c r="G6" s="28" t="n">
        <v>5850</v>
      </c>
      <c r="H6" s="25" t="inlineStr">
        <is>
          <t>Среднее 430–850 ₽/м² по прайсам Краснодара</t>
        </is>
      </c>
    </row>
    <row r="7" ht="38" customHeight="1">
      <c r="A7" s="30" t="n">
        <v>2</v>
      </c>
      <c r="B7" s="31" t="inlineStr">
        <is>
          <t>Утепление каркаса минеральной ватой 50 мм</t>
        </is>
      </c>
      <c r="C7" s="31" t="inlineStr">
        <is>
          <t>Площадь обшивки ГКЛ 9,0 м²</t>
        </is>
      </c>
      <c r="D7" s="30" t="inlineStr">
        <is>
          <t>м²</t>
        </is>
      </c>
      <c r="E7" s="54" t="n">
        <v>9</v>
      </c>
      <c r="F7" s="33" t="n">
        <v>450</v>
      </c>
      <c r="G7" s="34" t="n">
        <v>4050</v>
      </c>
      <c r="H7" s="31" t="inlineStr">
        <is>
          <t>Среднее 400–700 ₽/м², работа без материала</t>
        </is>
      </c>
    </row>
    <row r="8" ht="38" customHeight="1">
      <c r="A8" s="24" t="n">
        <v>3</v>
      </c>
      <c r="B8" s="25" t="inlineStr">
        <is>
          <t>Заделка швов бумажной лентой, шпаклёвка под покраску</t>
        </is>
      </c>
      <c r="C8" s="25" t="inlineStr">
        <is>
          <t>Площадь ГКЛ 9,0 м²</t>
        </is>
      </c>
      <c r="D8" s="24" t="inlineStr">
        <is>
          <t>м²</t>
        </is>
      </c>
      <c r="E8" s="53" t="n">
        <v>9</v>
      </c>
      <c r="F8" s="27" t="n">
        <v>380</v>
      </c>
      <c r="G8" s="28" t="n">
        <v>3420</v>
      </c>
      <c r="H8" s="25" t="inlineStr">
        <is>
          <t>Комплекс под покраску, среднее 320–400 ₽/м²</t>
        </is>
      </c>
    </row>
    <row r="9" ht="38" customHeight="1">
      <c r="A9" s="30" t="n">
        <v>4</v>
      </c>
      <c r="B9" s="31" t="inlineStr">
        <is>
          <t>Грунтовка интерьерная, 2 раза</t>
        </is>
      </c>
      <c r="C9" s="31" t="inlineStr">
        <is>
          <t>Площадь ГКЛ 9,0 м²</t>
        </is>
      </c>
      <c r="D9" s="30" t="inlineStr">
        <is>
          <t>м²</t>
        </is>
      </c>
      <c r="E9" s="54" t="n">
        <v>9</v>
      </c>
      <c r="F9" s="33" t="n">
        <v>120</v>
      </c>
      <c r="G9" s="34" t="n">
        <v>1080</v>
      </c>
      <c r="H9" s="31" t="inlineStr">
        <is>
          <t>По 60 ₽/м² за проход: до шпаклёвки и перед краской</t>
        </is>
      </c>
    </row>
    <row r="10" ht="38" customHeight="1">
      <c r="A10" s="24" t="n">
        <v>5</v>
      </c>
      <c r="B10" s="25" t="inlineStr">
        <is>
          <t>Покраска стен/потолка, 2 слоя</t>
        </is>
      </c>
      <c r="C10" s="25" t="inlineStr">
        <is>
          <t>Площадь ГКЛ 9,0 м²</t>
        </is>
      </c>
      <c r="D10" s="24" t="inlineStr">
        <is>
          <t>м²</t>
        </is>
      </c>
      <c r="E10" s="53" t="n">
        <v>9</v>
      </c>
      <c r="F10" s="27" t="n">
        <v>260</v>
      </c>
      <c r="G10" s="28" t="n">
        <v>2340</v>
      </c>
      <c r="H10" s="25" t="inlineStr">
        <is>
          <t>Среднее 220–300 ₽/м² за 2 слоя</t>
        </is>
      </c>
    </row>
    <row r="11" ht="38" customHeight="1">
      <c r="A11" s="30" t="n">
        <v>6</v>
      </c>
      <c r="B11" s="31" t="inlineStr">
        <is>
          <t>Утепление пола Пеноплэксом 50 мм, крепление грибами</t>
        </is>
      </c>
      <c r="C11" s="31" t="inlineStr">
        <is>
          <t>5 листов × 0,69 м² ≈ 3,5 м²</t>
        </is>
      </c>
      <c r="D11" s="30" t="inlineStr">
        <is>
          <t>м²</t>
        </is>
      </c>
      <c r="E11" s="54" t="n">
        <v>3.5</v>
      </c>
      <c r="F11" s="33" t="n">
        <v>400</v>
      </c>
      <c r="G11" s="34" t="n">
        <v>1400</v>
      </c>
      <c r="H11" s="31" t="inlineStr">
        <is>
          <t>Работа по полу, без материала</t>
        </is>
      </c>
    </row>
    <row r="12" ht="38" customHeight="1">
      <c r="A12" s="24" t="n">
        <v>7</v>
      </c>
      <c r="B12" s="25" t="inlineStr">
        <is>
          <t>Армирование стяжки композитной сеткой 50×50</t>
        </is>
      </c>
      <c r="C12" s="25" t="inlineStr">
        <is>
          <t>Площадь пола ≈ 3,5 м²</t>
        </is>
      </c>
      <c r="D12" s="24" t="inlineStr">
        <is>
          <t>м²</t>
        </is>
      </c>
      <c r="E12" s="53" t="n">
        <v>3.5</v>
      </c>
      <c r="F12" s="27" t="n">
        <v>180</v>
      </c>
      <c r="G12" s="28" t="n">
        <v>630</v>
      </c>
      <c r="H12" s="25" t="inlineStr">
        <is>
          <t>Укладка сетки в слой стяжки</t>
        </is>
      </c>
    </row>
    <row r="13" ht="38" customHeight="1">
      <c r="A13" s="30" t="n">
        <v>8</v>
      </c>
      <c r="B13" s="31" t="inlineStr">
        <is>
          <t>Устройство стяжки по маякам</t>
        </is>
      </c>
      <c r="C13" s="31" t="inlineStr">
        <is>
          <t>Площадь пола ≈ 3,5 м²</t>
        </is>
      </c>
      <c r="D13" s="30" t="inlineStr">
        <is>
          <t>м²</t>
        </is>
      </c>
      <c r="E13" s="54" t="n">
        <v>3.5</v>
      </c>
      <c r="F13" s="33" t="n">
        <v>350</v>
      </c>
      <c r="G13" s="34" t="n">
        <v>1225</v>
      </c>
      <c r="H13" s="31" t="inlineStr">
        <is>
          <t>Среднее 250–400 ₽/м², маяки в работе</t>
        </is>
      </c>
    </row>
    <row r="14" ht="38" customHeight="1">
      <c r="A14" s="24" t="n">
        <v>9</v>
      </c>
      <c r="B14" s="25" t="inlineStr">
        <is>
          <t>Подъём материалов, текущая уборка рабочей зоны</t>
        </is>
      </c>
      <c r="C14" s="25" t="inlineStr">
        <is>
          <t>Комплект балкона 1</t>
        </is>
      </c>
      <c r="D14" s="24" t="inlineStr">
        <is>
          <t>компл.</t>
        </is>
      </c>
      <c r="E14" s="53" t="n">
        <v>1</v>
      </c>
      <c r="F14" s="27" t="n">
        <v>2500</v>
      </c>
      <c r="G14" s="28" t="n">
        <v>2500</v>
      </c>
      <c r="H14" s="25" t="inlineStr">
        <is>
          <t>Не включает вывоз мусора — см. исключения</t>
        </is>
      </c>
    </row>
    <row r="15" ht="24" customHeight="1">
      <c r="A15" s="49" t="inlineStr">
        <is>
          <t>ИТОГО ПО ЭТОМУ БАЛКОНУ</t>
        </is>
      </c>
      <c r="B15" s="50" t="n"/>
      <c r="C15" s="50" t="n"/>
      <c r="D15" s="50" t="n"/>
      <c r="E15" s="50" t="n"/>
      <c r="F15" s="50" t="n"/>
      <c r="G15" s="51">
        <f>SUM(G6:G14)</f>
        <v/>
      </c>
      <c r="H15" s="5" t="n"/>
    </row>
    <row r="17" ht="22" customHeight="1">
      <c r="A17" s="52" t="inlineStr">
        <is>
          <t>БАЛКОН 2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3" t="inlineStr">
        <is>
          <t>№</t>
        </is>
      </c>
      <c r="B18" s="23" t="inlineStr">
        <is>
          <t>Вид работ</t>
        </is>
      </c>
      <c r="C18" s="23" t="inlineStr">
        <is>
          <t>Обоснование объёма</t>
        </is>
      </c>
      <c r="D18" s="23" t="inlineStr">
        <is>
          <t>Ед.</t>
        </is>
      </c>
      <c r="E18" s="23" t="inlineStr">
        <is>
          <t>Кол-во</t>
        </is>
      </c>
      <c r="F18" s="23" t="inlineStr">
        <is>
          <t>Ставка, ₽</t>
        </is>
      </c>
      <c r="G18" s="23" t="inlineStr">
        <is>
          <t>Сумма, ₽</t>
        </is>
      </c>
      <c r="H18" s="23" t="inlineStr">
        <is>
          <t>Примечание</t>
        </is>
      </c>
    </row>
    <row r="19" ht="38" customHeight="1">
      <c r="A19" s="24" t="n">
        <v>1</v>
      </c>
      <c r="B19" s="25" t="inlineStr">
        <is>
          <t>Каркас из ППН 27/28 и ПП 60/27, обшивка ГКЛ 12,5 мм</t>
        </is>
      </c>
      <c r="C19" s="25" t="inlineStr">
        <is>
          <t>3 листа ГКЛ × 3 м² = 9,0 м²</t>
        </is>
      </c>
      <c r="D19" s="24" t="inlineStr">
        <is>
          <t>м²</t>
        </is>
      </c>
      <c r="E19" s="53" t="n">
        <v>9</v>
      </c>
      <c r="F19" s="27" t="n">
        <v>650</v>
      </c>
      <c r="G19" s="28" t="n">
        <v>5850</v>
      </c>
      <c r="H19" s="25" t="inlineStr">
        <is>
          <t>Те же ставки, что на балконе 1</t>
        </is>
      </c>
    </row>
    <row r="20" ht="38" customHeight="1">
      <c r="A20" s="30" t="n">
        <v>2</v>
      </c>
      <c r="B20" s="31" t="inlineStr">
        <is>
          <t>Утепление каркаса минеральной ватой 50 мм</t>
        </is>
      </c>
      <c r="C20" s="31" t="inlineStr">
        <is>
          <t>Площадь обшивки ГКЛ 9,0 м², 1 упаковка Тисма</t>
        </is>
      </c>
      <c r="D20" s="30" t="inlineStr">
        <is>
          <t>м²</t>
        </is>
      </c>
      <c r="E20" s="54" t="n">
        <v>9</v>
      </c>
      <c r="F20" s="33" t="n">
        <v>450</v>
      </c>
      <c r="G20" s="34" t="n">
        <v>4050</v>
      </c>
      <c r="H20" s="31" t="inlineStr">
        <is>
          <t>Работа без материала</t>
        </is>
      </c>
    </row>
    <row r="21" ht="38" customHeight="1">
      <c r="A21" s="24" t="n">
        <v>3</v>
      </c>
      <c r="B21" s="25" t="inlineStr">
        <is>
          <t>Заделка швов бумажной лентой, шпаклёвка под покраску</t>
        </is>
      </c>
      <c r="C21" s="25" t="inlineStr">
        <is>
          <t>Площадь ГКЛ 9,0 м²</t>
        </is>
      </c>
      <c r="D21" s="24" t="inlineStr">
        <is>
          <t>м²</t>
        </is>
      </c>
      <c r="E21" s="53" t="n">
        <v>9</v>
      </c>
      <c r="F21" s="27" t="n">
        <v>380</v>
      </c>
      <c r="G21" s="28" t="n">
        <v>3420</v>
      </c>
      <c r="H21" s="25" t="inlineStr">
        <is>
          <t>Материал общий из корзины, работа на этом балконе</t>
        </is>
      </c>
    </row>
    <row r="22" ht="38" customHeight="1">
      <c r="A22" s="30" t="n">
        <v>4</v>
      </c>
      <c r="B22" s="31" t="inlineStr">
        <is>
          <t>Грунтовка интерьерная, 2 раза</t>
        </is>
      </c>
      <c r="C22" s="31" t="inlineStr">
        <is>
          <t>Площадь ГКЛ 9,0 м²</t>
        </is>
      </c>
      <c r="D22" s="30" t="inlineStr">
        <is>
          <t>м²</t>
        </is>
      </c>
      <c r="E22" s="54" t="n">
        <v>9</v>
      </c>
      <c r="F22" s="33" t="n">
        <v>120</v>
      </c>
      <c r="G22" s="34" t="n">
        <v>1080</v>
      </c>
      <c r="H22" s="31" t="inlineStr">
        <is>
          <t>По 60 ₽/м² за проход</t>
        </is>
      </c>
    </row>
    <row r="23" ht="38" customHeight="1">
      <c r="A23" s="24" t="n">
        <v>5</v>
      </c>
      <c r="B23" s="25" t="inlineStr">
        <is>
          <t>Покраска стен/потолка, 2 слоя</t>
        </is>
      </c>
      <c r="C23" s="25" t="inlineStr">
        <is>
          <t>Площадь ГКЛ 9,0 м²</t>
        </is>
      </c>
      <c r="D23" s="24" t="inlineStr">
        <is>
          <t>м²</t>
        </is>
      </c>
      <c r="E23" s="53" t="n">
        <v>9</v>
      </c>
      <c r="F23" s="27" t="n">
        <v>260</v>
      </c>
      <c r="G23" s="28" t="n">
        <v>2340</v>
      </c>
      <c r="H23" s="25" t="inlineStr">
        <is>
          <t>Материал общий из корзины, работа на этом балконе</t>
        </is>
      </c>
    </row>
    <row r="24" ht="38" customHeight="1">
      <c r="A24" s="30" t="n">
        <v>6</v>
      </c>
      <c r="B24" s="31" t="inlineStr">
        <is>
          <t>Утепление пола Пеноплэксом 50 мм, крепление пресс-шайбой</t>
        </is>
      </c>
      <c r="C24" s="31" t="inlineStr">
        <is>
          <t>5 листов × 0,69 м² ≈ 3,5 м²</t>
        </is>
      </c>
      <c r="D24" s="30" t="inlineStr">
        <is>
          <t>м²</t>
        </is>
      </c>
      <c r="E24" s="54" t="n">
        <v>3.5</v>
      </c>
      <c r="F24" s="33" t="n">
        <v>400</v>
      </c>
      <c r="G24" s="34" t="n">
        <v>1400</v>
      </c>
      <c r="H24" s="31" t="inlineStr">
        <is>
          <t>Во втором списке грибов нет, крепёж пресс-шайбой</t>
        </is>
      </c>
    </row>
    <row r="25" ht="38" customHeight="1">
      <c r="A25" s="24" t="n">
        <v>7</v>
      </c>
      <c r="B25" s="25" t="inlineStr">
        <is>
          <t>Армирование стяжки стеклопластиковой сеткой 50×50</t>
        </is>
      </c>
      <c r="C25" s="25" t="inlineStr">
        <is>
          <t>Площадь пола ≈ 3,5 м²</t>
        </is>
      </c>
      <c r="D25" s="24" t="inlineStr">
        <is>
          <t>м²</t>
        </is>
      </c>
      <c r="E25" s="53" t="n">
        <v>3.5</v>
      </c>
      <c r="F25" s="27" t="n">
        <v>180</v>
      </c>
      <c r="G25" s="28" t="n">
        <v>630</v>
      </c>
      <c r="H25" s="25" t="inlineStr">
        <is>
          <t>Укладка сетки в слой стяжки</t>
        </is>
      </c>
    </row>
    <row r="26" ht="38" customHeight="1">
      <c r="A26" s="30" t="n">
        <v>8</v>
      </c>
      <c r="B26" s="31" t="inlineStr">
        <is>
          <t>Устройство стяжки по маякам</t>
        </is>
      </c>
      <c r="C26" s="31" t="inlineStr">
        <is>
          <t>Площадь пола ≈ 3,5 м²</t>
        </is>
      </c>
      <c r="D26" s="30" t="inlineStr">
        <is>
          <t>м²</t>
        </is>
      </c>
      <c r="E26" s="54" t="n">
        <v>3.5</v>
      </c>
      <c r="F26" s="33" t="n">
        <v>350</v>
      </c>
      <c r="G26" s="34" t="n">
        <v>1225</v>
      </c>
      <c r="H26" s="31" t="inlineStr">
        <is>
          <t>Маяки в работе</t>
        </is>
      </c>
    </row>
    <row r="27" ht="38" customHeight="1">
      <c r="A27" s="24" t="n">
        <v>9</v>
      </c>
      <c r="B27" s="25" t="inlineStr">
        <is>
          <t>Подъём материалов, текущая уборка рабочей зоны</t>
        </is>
      </c>
      <c r="C27" s="25" t="inlineStr">
        <is>
          <t>Комплект балкона 2</t>
        </is>
      </c>
      <c r="D27" s="24" t="inlineStr">
        <is>
          <t>компл.</t>
        </is>
      </c>
      <c r="E27" s="53" t="n">
        <v>1</v>
      </c>
      <c r="F27" s="27" t="n">
        <v>2500</v>
      </c>
      <c r="G27" s="28" t="n">
        <v>2500</v>
      </c>
      <c r="H27" s="25" t="inlineStr">
        <is>
          <t>Если оба балкона в одну поездку, два подъёма могут сойтись чуть дешевле</t>
        </is>
      </c>
    </row>
    <row r="28" ht="24" customHeight="1">
      <c r="A28" s="49" t="inlineStr">
        <is>
          <t>ИТОГО ПО ЭТОМУ БАЛКОНУ</t>
        </is>
      </c>
      <c r="B28" s="50" t="n"/>
      <c r="C28" s="50" t="n"/>
      <c r="D28" s="50" t="n"/>
      <c r="E28" s="50" t="n"/>
      <c r="F28" s="50" t="n"/>
      <c r="G28" s="51">
        <f>SUM(G19:G27)</f>
        <v/>
      </c>
      <c r="H28" s="5" t="n"/>
    </row>
    <row r="30" ht="26" customHeight="1">
      <c r="A30" s="55" t="inlineStr">
        <is>
          <t>ИТОГО РАБОТЫ, ОБА БАЛКОНА</t>
        </is>
      </c>
      <c r="B30" s="56" t="n"/>
      <c r="C30" s="56" t="n"/>
      <c r="D30" s="56" t="n"/>
      <c r="E30" s="56" t="n"/>
      <c r="F30" s="56" t="n"/>
      <c r="G30" s="51">
        <f>G15+G28</f>
        <v/>
      </c>
      <c r="H30" s="9" t="n"/>
    </row>
    <row r="32">
      <c r="A32" s="14" t="inlineStr">
        <is>
          <t>НЕ ВХОДИТ В ЭТУ СМЕТУ РАБОТ</t>
        </is>
      </c>
      <c r="B32" s="15" t="n"/>
      <c r="C32" s="15" t="n"/>
      <c r="D32" s="15" t="n"/>
      <c r="E32" s="15" t="n"/>
      <c r="F32" s="15" t="n"/>
      <c r="G32" s="15" t="n"/>
      <c r="H32" s="15" t="n"/>
    </row>
    <row r="33">
      <c r="A33" s="57" t="inlineStr">
        <is>
          <t>№</t>
        </is>
      </c>
      <c r="B33" s="57" t="inlineStr">
        <is>
          <t>Что не входит</t>
        </is>
      </c>
      <c r="C33" s="57" t="inlineStr">
        <is>
          <t>Почему не входит</t>
        </is>
      </c>
      <c r="D33" s="57" t="inlineStr">
        <is>
          <t>Как обычно считают</t>
        </is>
      </c>
      <c r="E33" s="58" t="n"/>
      <c r="F33" s="58" t="n"/>
      <c r="G33" s="58" t="n"/>
      <c r="H33" s="58" t="n"/>
    </row>
    <row r="34" ht="32" customHeight="1">
      <c r="A34" s="59" t="n">
        <v>1</v>
      </c>
      <c r="B34" s="60" t="inlineStr">
        <is>
          <t>Демонтаж старой отделки, старой стяжки, подоконника и обшивки</t>
        </is>
      </c>
      <c r="C34" s="60" t="inlineStr">
        <is>
          <t>В списках материалов нет позиций на демонтаж</t>
        </is>
      </c>
      <c r="D34" s="60" t="inlineStr">
        <is>
          <t>Отдельно, обычно 150–350 ₽/м² в зависимости от слоя</t>
        </is>
      </c>
      <c r="E34" s="61" t="n"/>
      <c r="F34" s="61" t="n"/>
      <c r="G34" s="61" t="n"/>
      <c r="H34" s="61" t="n"/>
    </row>
    <row r="35" ht="32" customHeight="1">
      <c r="A35" s="59" t="n">
        <v>2</v>
      </c>
      <c r="B35" s="60" t="inlineStr">
        <is>
          <t>Остекление балкона, замена окна, монтаж откосов, отлива и подоконника</t>
        </is>
      </c>
      <c r="C35" s="60" t="inlineStr">
        <is>
          <t>Подоконники не делаются, остекления в смете нет</t>
        </is>
      </c>
      <c r="D35" s="60" t="inlineStr">
        <is>
          <t>Отдельный договор на остекление</t>
        </is>
      </c>
      <c r="E35" s="61" t="n"/>
      <c r="F35" s="61" t="n"/>
      <c r="G35" s="61" t="n"/>
      <c r="H35" s="61" t="n"/>
    </row>
    <row r="36" ht="32" customHeight="1">
      <c r="A36" s="59" t="n">
        <v>3</v>
      </c>
      <c r="B36" s="60" t="inlineStr">
        <is>
          <t>Электромонтаж: кабель, розетки, светильники, тёплый пол</t>
        </is>
      </c>
      <c r="C36" s="60" t="inlineStr">
        <is>
          <t>В списке нет кабеля, коробок, тёплого пола</t>
        </is>
      </c>
      <c r="D36" s="60" t="inlineStr">
        <is>
          <t>Отдельная смета электрика</t>
        </is>
      </c>
      <c r="E36" s="61" t="n"/>
      <c r="F36" s="61" t="n"/>
      <c r="G36" s="61" t="n"/>
      <c r="H36" s="61" t="n"/>
    </row>
    <row r="37" ht="32" customHeight="1">
      <c r="A37" s="59" t="n">
        <v>4</v>
      </c>
      <c r="B37" s="60" t="inlineStr">
        <is>
          <t>Чистовой пол: плитка, ламинат, линолеум, плинтус, порожек</t>
        </is>
      </c>
      <c r="C37" s="60" t="inlineStr">
        <is>
          <t>В материалах только черновая стяжка</t>
        </is>
      </c>
      <c r="D37" s="60" t="inlineStr">
        <is>
          <t>Плитка от 900 ₽/м², ламинат от 350 ₽/м² работа</t>
        </is>
      </c>
      <c r="E37" s="61" t="n"/>
      <c r="F37" s="61" t="n"/>
      <c r="G37" s="61" t="n"/>
      <c r="H37" s="61" t="n"/>
    </row>
    <row r="38" ht="32" customHeight="1">
      <c r="A38" s="59" t="n">
        <v>5</v>
      </c>
      <c r="B38" s="60" t="inlineStr">
        <is>
          <t>Гидроизоляция пола и парапета, пароизоляция, фольгированный слой</t>
        </is>
      </c>
      <c r="C38" s="60" t="inlineStr">
        <is>
          <t>В списке нет рулонной гидро- и пароизоляции</t>
        </is>
      </c>
      <c r="D38" s="60" t="inlineStr">
        <is>
          <t>Отдельно 150–250 ₽/м²</t>
        </is>
      </c>
      <c r="E38" s="61" t="n"/>
      <c r="F38" s="61" t="n"/>
      <c r="G38" s="61" t="n"/>
      <c r="H38" s="61" t="n"/>
    </row>
    <row r="39" ht="32" customHeight="1">
      <c r="A39" s="59" t="n">
        <v>6</v>
      </c>
      <c r="B39" s="60" t="inlineStr">
        <is>
          <t>Доставка материалов из Лемана ПРО и подъём грузчиками магазина</t>
        </is>
      </c>
      <c r="C39" s="60" t="inlineStr">
        <is>
          <t>В работах только подъём на объект силами бригады</t>
        </is>
      </c>
      <c r="D39" s="60" t="inlineStr">
        <is>
          <t>По тарифу магазина / такси</t>
        </is>
      </c>
      <c r="E39" s="61" t="n"/>
      <c r="F39" s="61" t="n"/>
      <c r="G39" s="61" t="n"/>
      <c r="H39" s="61" t="n"/>
    </row>
    <row r="40" ht="32" customHeight="1">
      <c r="A40" s="59" t="n">
        <v>7</v>
      </c>
      <c r="B40" s="60" t="inlineStr">
        <is>
          <t>Вывоз строительного мусора, контейнер, погрузка</t>
        </is>
      </c>
      <c r="C40" s="60" t="inlineStr">
        <is>
          <t>В п. 9 каждого балкона только текущая уборка зоны</t>
        </is>
      </c>
      <c r="D40" s="60" t="inlineStr">
        <is>
          <t>Контейнер / Газель отдельно</t>
        </is>
      </c>
      <c r="E40" s="61" t="n"/>
      <c r="F40" s="61" t="n"/>
      <c r="G40" s="61" t="n"/>
      <c r="H40" s="61" t="n"/>
    </row>
    <row r="41" ht="32" customHeight="1">
      <c r="A41" s="59" t="n">
        <v>8</v>
      </c>
      <c r="B41" s="60" t="inlineStr">
        <is>
          <t>Наружная отделка ограждения, фасад, козырёк, москитные сетки</t>
        </is>
      </c>
      <c r="C41" s="60" t="inlineStr">
        <is>
          <t>Материалы только на внутренний контур балкона</t>
        </is>
      </c>
      <c r="D41" s="60" t="inlineStr">
        <is>
          <t>Отдельный вид работ</t>
        </is>
      </c>
      <c r="E41" s="61" t="n"/>
      <c r="F41" s="61" t="n"/>
      <c r="G41" s="61" t="n"/>
      <c r="H41" s="61" t="n"/>
    </row>
    <row r="42" ht="32" customHeight="1">
      <c r="A42" s="59" t="n">
        <v>9</v>
      </c>
      <c r="B42" s="60" t="inlineStr">
        <is>
          <t>Согласование перепланировки, технадзор, скрытые работы</t>
        </is>
      </c>
      <c r="C42" s="60" t="inlineStr">
        <is>
          <t>Не заказывались и не оценивались</t>
        </is>
      </c>
      <c r="D42" s="60" t="inlineStr">
        <is>
          <t>По факту после вскрытия</t>
        </is>
      </c>
      <c r="E42" s="61" t="n"/>
      <c r="F42" s="61" t="n"/>
      <c r="G42" s="61" t="n"/>
      <c r="H42" s="61" t="n"/>
    </row>
    <row r="43" ht="32" customHeight="1">
      <c r="A43" s="59" t="n">
        <v>10</v>
      </c>
      <c r="B43" s="60" t="inlineStr">
        <is>
          <t>Повторная покраска сверх 2 слоёв, колеровка, декоративные покрытия</t>
        </is>
      </c>
      <c r="C43" s="60" t="inlineStr">
        <is>
          <t>В смете 2 слоя обычной интерьерной краски на каждый балкон</t>
        </is>
      </c>
      <c r="D43" s="60" t="inlineStr">
        <is>
          <t>Доп. слой ~120–150 ₽/м²</t>
        </is>
      </c>
      <c r="E43" s="61" t="n"/>
      <c r="F43" s="61" t="n"/>
      <c r="G43" s="61" t="n"/>
      <c r="H43" s="61" t="n"/>
    </row>
    <row r="45">
      <c r="A45" s="62" t="inlineStr">
        <is>
          <t>Итог работ 44 990 ₽ = 22 495 ₽ × 2 балкона, только строки 1–9 на каждом. Всё, что в красном блоке, в эту сумму не входит и оценивается отдельно после замера. Если оба балкона в одну поездку, два подъёма по 2 500 ₽ могут сойтись чуть дешевле.</t>
        </is>
      </c>
      <c r="B45" s="63" t="n"/>
      <c r="C45" s="63" t="n"/>
      <c r="D45" s="63" t="n"/>
      <c r="E45" s="63" t="n"/>
      <c r="F45" s="63" t="n"/>
      <c r="G45" s="63" t="n"/>
      <c r="H45" s="63" t="n"/>
    </row>
    <row r="46">
      <c r="A46" s="63" t="n"/>
      <c r="B46" s="63" t="n"/>
      <c r="C46" s="63" t="n"/>
      <c r="D46" s="63" t="n"/>
      <c r="E46" s="63" t="n"/>
      <c r="F46" s="63" t="n"/>
      <c r="G46" s="63" t="n"/>
      <c r="H46" s="63" t="n"/>
    </row>
  </sheetData>
  <mergeCells count="20">
    <mergeCell ref="D35:H35"/>
    <mergeCell ref="D34:H34"/>
    <mergeCell ref="A1:H1"/>
    <mergeCell ref="D40:H40"/>
    <mergeCell ref="D36:H36"/>
    <mergeCell ref="D41:H41"/>
    <mergeCell ref="A28:F28"/>
    <mergeCell ref="D43:H43"/>
    <mergeCell ref="A2:H2"/>
    <mergeCell ref="D37:H37"/>
    <mergeCell ref="A32:H32"/>
    <mergeCell ref="A30:F30"/>
    <mergeCell ref="A15:F15"/>
    <mergeCell ref="A17:H17"/>
    <mergeCell ref="A4:H4"/>
    <mergeCell ref="D39:H39"/>
    <mergeCell ref="D42:H42"/>
    <mergeCell ref="A45:H46"/>
    <mergeCell ref="D33:H33"/>
    <mergeCell ref="D38:H38"/>
  </mergeCells>
  <pageMargins left="0.75" right="0.75" top="1" bottom="1" header="0.5" footer="0.5"/>
  <pageSetup orientation="landscape" paperSize="9" fitToHeight="1" fitToWidth="1"/>
  <headerFooter>
    <oddHeader/>
    <oddFooter>&amp;LДва балкона, Краснодар&amp;C13.10.2026&amp;R&amp;P из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42" customWidth="1" min="3" max="3"/>
    <col width="38" customWidth="1" min="4" max="4"/>
    <col width="28" customWidth="1" min="5" max="5"/>
    <col width="16" customWidth="1" min="6" max="6"/>
  </cols>
  <sheetData>
    <row r="1" ht="28" customHeight="1">
      <c r="A1" s="64" t="inlineStr">
        <is>
          <t>НЕ ВХОДИТ В СМЕТУ РАБОТ</t>
        </is>
      </c>
      <c r="B1" s="15" t="n"/>
      <c r="C1" s="15" t="n"/>
      <c r="D1" s="15" t="n"/>
      <c r="E1" s="15" t="n"/>
      <c r="F1" s="15" t="n"/>
    </row>
    <row r="2" ht="22" customHeight="1">
      <c r="A2" s="65" t="inlineStr">
        <is>
          <t>Этот лист — полный перечень того, что НЕ входит в 44 990 ₽ за работу на оба балкона. Если нужно — оценивается отдельной сметой после замера.</t>
        </is>
      </c>
    </row>
    <row r="4">
      <c r="A4" s="57" t="inlineStr">
        <is>
          <t>№</t>
        </is>
      </c>
      <c r="B4" s="57" t="inlineStr">
        <is>
          <t>Не входит</t>
        </is>
      </c>
      <c r="C4" s="57" t="inlineStr">
        <is>
          <t>Почему не входит в эту смету</t>
        </is>
      </c>
      <c r="D4" s="57" t="inlineStr">
        <is>
          <t>Типичная оценка в Краснодаре</t>
        </is>
      </c>
      <c r="E4" s="57" t="inlineStr">
        <is>
          <t>Нужен ли материал сверх списка</t>
        </is>
      </c>
      <c r="F4" s="57" t="inlineStr">
        <is>
          <t>Статус</t>
        </is>
      </c>
    </row>
    <row r="5" ht="40" customHeight="1">
      <c r="A5" s="59" t="n">
        <v>1</v>
      </c>
      <c r="B5" s="60" t="inlineStr">
        <is>
          <t>Демонтаж старой отделки, стяжки, подоконника, обшивки</t>
        </is>
      </c>
      <c r="C5" s="60" t="inlineStr">
        <is>
          <t>В исходном списке нет материалов и объёмов на демонтаж</t>
        </is>
      </c>
      <c r="D5" s="60" t="inlineStr">
        <is>
          <t>150–350 ₽/м² в зависимости от слоя</t>
        </is>
      </c>
      <c r="E5" s="60" t="inlineStr">
        <is>
          <t>Нет, это только работа + вывоз</t>
        </is>
      </c>
      <c r="F5" s="66" t="inlineStr">
        <is>
          <t>НЕ ВХОДИТ</t>
        </is>
      </c>
    </row>
    <row r="6" ht="40" customHeight="1">
      <c r="A6" s="59" t="n">
        <v>2</v>
      </c>
      <c r="B6" s="60" t="inlineStr">
        <is>
          <t>Остекление, замена окна, откосы, отлив, подоконник</t>
        </is>
      </c>
      <c r="C6" s="60" t="inlineStr">
        <is>
          <t>Подоконники не делаются, остекления в смете нет</t>
        </is>
      </c>
      <c r="D6" s="60" t="inlineStr">
        <is>
          <t>Отдельный договор, от нескольких тысяч за окно</t>
        </is>
      </c>
      <c r="E6" s="60" t="inlineStr">
        <is>
          <t>Да, профиль/стеклопакеты отдельно</t>
        </is>
      </c>
      <c r="F6" s="66" t="inlineStr">
        <is>
          <t>НЕ ВХОДИТ</t>
        </is>
      </c>
    </row>
    <row r="7" ht="40" customHeight="1">
      <c r="A7" s="59" t="n">
        <v>3</v>
      </c>
      <c r="B7" s="60" t="inlineStr">
        <is>
          <t>Электрика, свет, розетки, тёплый пол</t>
        </is>
      </c>
      <c r="C7" s="60" t="inlineStr">
        <is>
          <t>Кабеля, коробок и нагревательного элемента в списке нет</t>
        </is>
      </c>
      <c r="D7" s="60" t="inlineStr">
        <is>
          <t>Отдельная смета электрика</t>
        </is>
      </c>
      <c r="E7" s="60" t="inlineStr">
        <is>
          <t>Да, кабель, автоматы, тёплый пол</t>
        </is>
      </c>
      <c r="F7" s="66" t="inlineStr">
        <is>
          <t>НЕ ВХОДИТ</t>
        </is>
      </c>
    </row>
    <row r="8" ht="40" customHeight="1">
      <c r="A8" s="59" t="n">
        <v>4</v>
      </c>
      <c r="B8" s="60" t="inlineStr">
        <is>
          <t>Чистовой пол: плитка / ламинат / линолеум / плинтус</t>
        </is>
      </c>
      <c r="C8" s="60" t="inlineStr">
        <is>
          <t>В материалах только черновая стяжка и маяки</t>
        </is>
      </c>
      <c r="D8" s="60" t="inlineStr">
        <is>
          <t>Плитка от ~900 ₽/м², ламинат от ~350 ₽/м² работа</t>
        </is>
      </c>
      <c r="E8" s="60" t="inlineStr">
        <is>
          <t>Да, покрытие и плинтус</t>
        </is>
      </c>
      <c r="F8" s="66" t="inlineStr">
        <is>
          <t>НЕ ВХОДИТ</t>
        </is>
      </c>
    </row>
    <row r="9" ht="40" customHeight="1">
      <c r="A9" s="59" t="n">
        <v>5</v>
      </c>
      <c r="B9" s="60" t="inlineStr">
        <is>
          <t>Гидроизоляция пола и парапета, пароизоляция</t>
        </is>
      </c>
      <c r="C9" s="60" t="inlineStr">
        <is>
          <t>Рулонной изоляции в списке нет</t>
        </is>
      </c>
      <c r="D9" s="60" t="inlineStr">
        <is>
          <t>150–250 ₽/м² работа</t>
        </is>
      </c>
      <c r="E9" s="60" t="inlineStr">
        <is>
          <t>Да, мембрана / мастика</t>
        </is>
      </c>
      <c r="F9" s="66" t="inlineStr">
        <is>
          <t>НЕ ВХОДИТ</t>
        </is>
      </c>
    </row>
    <row r="10" ht="40" customHeight="1">
      <c r="A10" s="59" t="n">
        <v>6</v>
      </c>
      <c r="B10" s="60" t="inlineStr">
        <is>
          <t>Доставка из Лемана ПРО</t>
        </is>
      </c>
      <c r="C10" s="60" t="inlineStr">
        <is>
          <t>В работах только подъём силами бригады</t>
        </is>
      </c>
      <c r="D10" s="60" t="inlineStr">
        <is>
          <t>По тарифу магазина</t>
        </is>
      </c>
      <c r="E10" s="60" t="inlineStr">
        <is>
          <t>Нет</t>
        </is>
      </c>
      <c r="F10" s="66" t="inlineStr">
        <is>
          <t>НЕ ВХОДИТ</t>
        </is>
      </c>
    </row>
    <row r="11" ht="40" customHeight="1">
      <c r="A11" s="59" t="n">
        <v>7</v>
      </c>
      <c r="B11" s="60" t="inlineStr">
        <is>
          <t>Вывоз строительного мусора, контейнер</t>
        </is>
      </c>
      <c r="C11" s="60" t="inlineStr">
        <is>
          <t>П. 9 работ на каждом балконе — только уборка зоны, не вывоз</t>
        </is>
      </c>
      <c r="D11" s="60" t="inlineStr">
        <is>
          <t>Газель / контейнер отдельно</t>
        </is>
      </c>
      <c r="E11" s="60" t="inlineStr">
        <is>
          <t>Нет</t>
        </is>
      </c>
      <c r="F11" s="66" t="inlineStr">
        <is>
          <t>НЕ ВХОДИТ</t>
        </is>
      </c>
    </row>
    <row r="12" ht="40" customHeight="1">
      <c r="A12" s="59" t="n">
        <v>8</v>
      </c>
      <c r="B12" s="60" t="inlineStr">
        <is>
          <t>Наружная отделка ограждения, фасад, козырёк</t>
        </is>
      </c>
      <c r="C12" s="60" t="inlineStr">
        <is>
          <t>Материалы только на внутренний контур</t>
        </is>
      </c>
      <c r="D12" s="60" t="inlineStr">
        <is>
          <t>Отдельный вид работ</t>
        </is>
      </c>
      <c r="E12" s="60" t="inlineStr">
        <is>
          <t>Да, если заказывать снаружи</t>
        </is>
      </c>
      <c r="F12" s="66" t="inlineStr">
        <is>
          <t>НЕ ВХОДИТ</t>
        </is>
      </c>
    </row>
    <row r="13" ht="40" customHeight="1">
      <c r="A13" s="59" t="n">
        <v>9</v>
      </c>
      <c r="B13" s="60" t="inlineStr">
        <is>
          <t>Согласования, технадзор, скрытые работы</t>
        </is>
      </c>
      <c r="C13" s="60" t="inlineStr">
        <is>
          <t>Не заказывались</t>
        </is>
      </c>
      <c r="D13" s="60" t="inlineStr">
        <is>
          <t>По факту после вскрытия</t>
        </is>
      </c>
      <c r="E13" s="60" t="inlineStr">
        <is>
          <t>Возможно</t>
        </is>
      </c>
      <c r="F13" s="66" t="inlineStr">
        <is>
          <t>НЕ ВХОДИТ</t>
        </is>
      </c>
    </row>
    <row r="14" ht="40" customHeight="1">
      <c r="A14" s="59" t="n">
        <v>10</v>
      </c>
      <c r="B14" s="60" t="inlineStr">
        <is>
          <t>Покраска сверх 2 слоёв, колеровка, декоративка</t>
        </is>
      </c>
      <c r="C14" s="60" t="inlineStr">
        <is>
          <t>В смете 2 слоя обычной краски</t>
        </is>
      </c>
      <c r="D14" s="60" t="inlineStr">
        <is>
          <t>Доп. слой ~120–150 ₽/м²</t>
        </is>
      </c>
      <c r="E14" s="60" t="inlineStr">
        <is>
          <t>Возможна доп. краска</t>
        </is>
      </c>
      <c r="F14" s="66" t="inlineStr">
        <is>
          <t>НЕ ВХОДИТ</t>
        </is>
      </c>
    </row>
    <row r="15" ht="40" customHeight="1">
      <c r="A15" s="59" t="n">
        <v>11</v>
      </c>
      <c r="B15" s="60" t="inlineStr">
        <is>
          <t>Устройство порога / выход в комнату, демонтаж двери</t>
        </is>
      </c>
      <c r="C15" s="60" t="inlineStr">
        <is>
          <t>В списке нет двери и порога</t>
        </is>
      </c>
      <c r="D15" s="60" t="inlineStr">
        <is>
          <t>По месту</t>
        </is>
      </c>
      <c r="E15" s="60" t="inlineStr">
        <is>
          <t>Да, если менять блок</t>
        </is>
      </c>
      <c r="F15" s="66" t="inlineStr">
        <is>
          <t>НЕ ВХОДИТ</t>
        </is>
      </c>
    </row>
    <row r="16" ht="40" customHeight="1">
      <c r="A16" s="59" t="n">
        <v>12</v>
      </c>
      <c r="B16" s="60" t="inlineStr">
        <is>
          <t>Работа в ночь, срочность, простой из‑за погоды</t>
        </is>
      </c>
      <c r="C16" s="60" t="inlineStr">
        <is>
          <t>Обычный дневной режим</t>
        </is>
      </c>
      <c r="D16" s="60" t="inlineStr">
        <is>
          <t>Коэффициент 1,3–1,5</t>
        </is>
      </c>
      <c r="E16" s="60" t="inlineStr">
        <is>
          <t>Нет</t>
        </is>
      </c>
      <c r="F16" s="66" t="inlineStr">
        <is>
          <t>НЕ ВХОДИТ</t>
        </is>
      </c>
    </row>
    <row r="18">
      <c r="A18" s="67" t="inlineStr">
        <is>
          <t>Итог. В оплату по этой смете входят только работы с листа «Работы»: 9 строк на каждый балкон, 22 495 ₽ × 2 = 44 990 ₽. Всё перечисленное выше в 44 990 ₽ не входит. Материалы оплачиваются отдельно (корзина Лемана ПРО / лист «Материалы»).</t>
        </is>
      </c>
      <c r="B18" s="68" t="n"/>
      <c r="C18" s="68" t="n"/>
      <c r="D18" s="68" t="n"/>
      <c r="E18" s="68" t="n"/>
      <c r="F18" s="68" t="n"/>
    </row>
    <row r="19">
      <c r="A19" s="68" t="n"/>
      <c r="B19" s="68" t="n"/>
      <c r="C19" s="68" t="n"/>
      <c r="D19" s="68" t="n"/>
      <c r="E19" s="68" t="n"/>
      <c r="F19" s="68" t="n"/>
    </row>
    <row r="20">
      <c r="A20" s="68" t="n"/>
      <c r="B20" s="68" t="n"/>
      <c r="C20" s="68" t="n"/>
      <c r="D20" s="68" t="n"/>
      <c r="E20" s="68" t="n"/>
      <c r="F20" s="68" t="n"/>
    </row>
  </sheetData>
  <mergeCells count="3">
    <mergeCell ref="A2:F2"/>
    <mergeCell ref="A18:F20"/>
    <mergeCell ref="A1:F1"/>
  </mergeCells>
  <pageMargins left="0.75" right="0.75" top="1" bottom="1" header="0.5" footer="0.5"/>
  <pageSetup orientation="landscape" paperSize="9" fitToHeight="1" fitToWidth="1"/>
  <headerFooter>
    <oddHeader/>
    <oddFooter>&amp;LДва балкона, Краснодар&amp;C13.10.2026&amp;R&amp;P из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2026-10-13T13:46:34Z</dcterms:created>
  <dcterms:modified xsi:type="dcterms:W3CDTF">2026-10-13T13:46:34Z</dcterms:modified>
</cp:coreProperties>
</file>