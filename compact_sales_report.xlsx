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  <sheet name="Источник" sheetId="2" state="hidden" r:id="rId2"/>
  </sheets>
  <definedNames>
    <definedName name="_xlnm._FilterDatabase" localSheetId="0" hidden="1">'Отчет'!$A$4:$L$85</definedName>
    <definedName name="_xlnm.Print_Titles" localSheetId="0">'Отчет'!$1:$4</definedName>
    <definedName name="_xlnm.Print_Area" localSheetId="0">'Отчет'!$A$1:$L$68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+0%;-0%;0%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color rgb="00666666"/>
      <sz val="9"/>
    </font>
    <font>
      <b val="1"/>
      <color rgb="001F1F1F"/>
    </font>
    <font>
      <b val="1"/>
      <color rgb="00FFFFFF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/>
    </xf>
    <xf numFmtId="3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3" fontId="0" fillId="4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65" fontId="0" fillId="4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8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0" customWidth="1" min="6" max="6"/>
    <col width="10" customWidth="1" min="7" max="7"/>
    <col width="9" customWidth="1" min="8" max="8"/>
    <col width="9" customWidth="1" min="9" max="9"/>
    <col width="9" customWidth="1" min="10" max="10"/>
    <col width="10" customWidth="1" min="11" max="11"/>
    <col width="9" customWidth="1" min="12" max="12"/>
  </cols>
  <sheetData>
    <row r="1" ht="22" customHeight="1">
      <c r="A1" s="1" t="inlineStr">
        <is>
          <t>Еженедельный отчет продаж: динамика</t>
        </is>
      </c>
    </row>
    <row r="2">
      <c r="A2" s="2" t="inlineStr">
        <is>
          <t>Заполняйте недели B:E; сравнение, план и статус считаются автоматически.</t>
        </is>
      </c>
    </row>
    <row r="3"/>
    <row r="4" ht="34" customHeight="1">
      <c r="A4" s="3" t="inlineStr">
        <is>
          <t>Показатель</t>
        </is>
      </c>
      <c r="B4" s="3" t="inlineStr">
        <is>
          <t>1 нед.
27.04-03.05</t>
        </is>
      </c>
      <c r="C4" s="3" t="inlineStr">
        <is>
          <t>2 нед.
04.05-10.05</t>
        </is>
      </c>
      <c r="D4" s="3" t="inlineStr">
        <is>
          <t>3 нед.
11.05-17.05</t>
        </is>
      </c>
      <c r="E4" s="3" t="inlineStr">
        <is>
          <t>4 нед.
18.05-24.05</t>
        </is>
      </c>
      <c r="F4" s="3" t="inlineStr">
        <is>
          <t>Посл. нед.</t>
        </is>
      </c>
      <c r="G4" s="3" t="inlineStr">
        <is>
          <t>Пред. нед.</t>
        </is>
      </c>
      <c r="H4" s="3" t="inlineStr">
        <is>
          <t>+/-</t>
        </is>
      </c>
      <c r="I4" s="3" t="inlineStr">
        <is>
          <t>+/- %</t>
        </is>
      </c>
      <c r="J4" s="3" t="inlineStr">
        <is>
          <t>План</t>
        </is>
      </c>
      <c r="K4" s="3" t="inlineStr">
        <is>
          <t>% плана</t>
        </is>
      </c>
      <c r="L4" s="3" t="inlineStr">
        <is>
          <t>Статус</t>
        </is>
      </c>
    </row>
    <row r="5">
      <c r="A5" s="4" t="inlineStr">
        <is>
          <t>ИТОГО ОТДЕЛ</t>
        </is>
      </c>
    </row>
    <row r="6">
      <c r="A6" s="8" t="inlineStr">
        <is>
          <t>Новые лиды</t>
        </is>
      </c>
      <c r="B6" s="9" t="n">
        <v>23</v>
      </c>
      <c r="C6" s="9" t="n"/>
      <c r="D6" s="9" t="n"/>
      <c r="E6" s="9" t="n"/>
      <c r="F6" s="10">
        <f>IF(E6&lt;&gt;"",E6,IF(D6&lt;&gt;"",D6,IF(C6&lt;&gt;"",C6,IF(B6&lt;&gt;"",B6,""))))</f>
        <v/>
      </c>
      <c r="G6" s="10">
        <f>IF(E6&lt;&gt;"",D6,IF(D6&lt;&gt;"",C6,IF(C6&lt;&gt;"",B6,"")))</f>
        <v/>
      </c>
      <c r="H6" s="10">
        <f>IF(OR(F6="",G6=""),"",F6-G6)</f>
        <v/>
      </c>
      <c r="I6" s="11">
        <f>IF(OR(F6="",G6="",G6=0),"",H6/G6)</f>
        <v/>
      </c>
      <c r="J6" s="10" t="n"/>
      <c r="K6" s="12">
        <f>IF(OR(J6="",J6=0,F6=""),"",F6/J6)</f>
        <v/>
      </c>
      <c r="L6" s="13">
        <f>IF(K6="","",IF(K6&gt;=1,"OK",IF(K6&gt;=0.8,"Вним.","Риск")))</f>
        <v/>
      </c>
    </row>
    <row r="7">
      <c r="A7" s="14" t="inlineStr">
        <is>
          <t>Передано менеджерам</t>
        </is>
      </c>
      <c r="B7" s="9" t="n">
        <v>5</v>
      </c>
      <c r="C7" s="9" t="n"/>
      <c r="D7" s="9" t="n"/>
      <c r="E7" s="9" t="n"/>
      <c r="F7" s="10">
        <f>IF(E7&lt;&gt;"",E7,IF(D7&lt;&gt;"",D7,IF(C7&lt;&gt;"",C7,IF(B7&lt;&gt;"",B7,""))))</f>
        <v/>
      </c>
      <c r="G7" s="10">
        <f>IF(E7&lt;&gt;"",D7,IF(D7&lt;&gt;"",C7,IF(C7&lt;&gt;"",B7,"")))</f>
        <v/>
      </c>
      <c r="H7" s="10">
        <f>IF(OR(F7="",G7=""),"",F7-G7)</f>
        <v/>
      </c>
      <c r="I7" s="11">
        <f>IF(OR(F7="",G7="",G7=0),"",H7/G7)</f>
        <v/>
      </c>
      <c r="J7" s="10" t="n">
        <v>85</v>
      </c>
      <c r="K7" s="12">
        <f>IF(OR(J7="",J7=0,F7=""),"",F7/J7)</f>
        <v/>
      </c>
      <c r="L7" s="13">
        <f>IF(K7="","",IF(K7&gt;=1,"OK",IF(K7&gt;=0.8,"Вним.","Риск")))</f>
        <v/>
      </c>
    </row>
    <row r="8">
      <c r="A8" s="14" t="inlineStr">
        <is>
          <t>Квалификация</t>
        </is>
      </c>
      <c r="B8" s="9" t="n">
        <v>6</v>
      </c>
      <c r="C8" s="9" t="n"/>
      <c r="D8" s="9" t="n"/>
      <c r="E8" s="9" t="n"/>
      <c r="F8" s="10">
        <f>IF(E8&lt;&gt;"",E8,IF(D8&lt;&gt;"",D8,IF(C8&lt;&gt;"",C8,IF(B8&lt;&gt;"",B8,""))))</f>
        <v/>
      </c>
      <c r="G8" s="10">
        <f>IF(E8&lt;&gt;"",D8,IF(D8&lt;&gt;"",C8,IF(C8&lt;&gt;"",B8,"")))</f>
        <v/>
      </c>
      <c r="H8" s="10">
        <f>IF(OR(F8="",G8=""),"",F8-G8)</f>
        <v/>
      </c>
      <c r="I8" s="11">
        <f>IF(OR(F8="",G8="",G8=0),"",H8/G8)</f>
        <v/>
      </c>
      <c r="J8" s="10" t="n"/>
      <c r="K8" s="12">
        <f>IF(OR(J8="",J8=0,F8=""),"",F8/J8)</f>
        <v/>
      </c>
      <c r="L8" s="13">
        <f>IF(K8="","",IF(K8&gt;=1,"OK",IF(K8&gt;=0.8,"Вним.","Риск")))</f>
        <v/>
      </c>
    </row>
    <row r="9">
      <c r="A9" s="14" t="inlineStr">
        <is>
          <t>ВКС 1</t>
        </is>
      </c>
      <c r="B9" s="9" t="n">
        <v>4</v>
      </c>
      <c r="C9" s="9" t="n"/>
      <c r="D9" s="9" t="n"/>
      <c r="E9" s="9" t="n"/>
      <c r="F9" s="10">
        <f>IF(E9&lt;&gt;"",E9,IF(D9&lt;&gt;"",D9,IF(C9&lt;&gt;"",C9,IF(B9&lt;&gt;"",B9,""))))</f>
        <v/>
      </c>
      <c r="G9" s="10">
        <f>IF(E9&lt;&gt;"",D9,IF(D9&lt;&gt;"",C9,IF(C9&lt;&gt;"",B9,"")))</f>
        <v/>
      </c>
      <c r="H9" s="10">
        <f>IF(OR(F9="",G9=""),"",F9-G9)</f>
        <v/>
      </c>
      <c r="I9" s="11">
        <f>IF(OR(F9="",G9="",G9=0),"",H9/G9)</f>
        <v/>
      </c>
      <c r="J9" s="10" t="n">
        <v>90</v>
      </c>
      <c r="K9" s="12">
        <f>IF(OR(J9="",J9=0,F9=""),"",F9/J9)</f>
        <v/>
      </c>
      <c r="L9" s="13">
        <f>IF(K9="","",IF(K9&gt;=1,"OK",IF(K9&gt;=0.8,"Вним.","Риск")))</f>
        <v/>
      </c>
    </row>
    <row r="10">
      <c r="A10" s="14" t="inlineStr">
        <is>
          <t>ВКС 2</t>
        </is>
      </c>
      <c r="B10" s="9" t="n">
        <v>15</v>
      </c>
      <c r="C10" s="9" t="n"/>
      <c r="D10" s="9" t="n"/>
      <c r="E10" s="9" t="n"/>
      <c r="F10" s="10">
        <f>IF(E10&lt;&gt;"",E10,IF(D10&lt;&gt;"",D10,IF(C10&lt;&gt;"",C10,IF(B10&lt;&gt;"",B10,""))))</f>
        <v/>
      </c>
      <c r="G10" s="10">
        <f>IF(E10&lt;&gt;"",D10,IF(D10&lt;&gt;"",C10,IF(C10&lt;&gt;"",B10,"")))</f>
        <v/>
      </c>
      <c r="H10" s="10">
        <f>IF(OR(F10="",G10=""),"",F10-G10)</f>
        <v/>
      </c>
      <c r="I10" s="11">
        <f>IF(OR(F10="",G10="",G10=0),"",H10/G10)</f>
        <v/>
      </c>
      <c r="J10" s="10" t="n">
        <v>180</v>
      </c>
      <c r="K10" s="12">
        <f>IF(OR(J10="",J10=0,F10=""),"",F10/J10)</f>
        <v/>
      </c>
      <c r="L10" s="13">
        <f>IF(K10="","",IF(K10&gt;=1,"OK",IF(K10&gt;=0.8,"Вним.","Риск")))</f>
        <v/>
      </c>
    </row>
    <row r="11">
      <c r="A11" s="14" t="inlineStr">
        <is>
          <t>Подготовка к ДТ</t>
        </is>
      </c>
      <c r="B11" s="9" t="n">
        <v>3</v>
      </c>
      <c r="C11" s="9" t="n"/>
      <c r="D11" s="9" t="n"/>
      <c r="E11" s="9" t="n"/>
      <c r="F11" s="10">
        <f>IF(E11&lt;&gt;"",E11,IF(D11&lt;&gt;"",D11,IF(C11&lt;&gt;"",C11,IF(B11&lt;&gt;"",B11,""))))</f>
        <v/>
      </c>
      <c r="G11" s="10">
        <f>IF(E11&lt;&gt;"",D11,IF(D11&lt;&gt;"",C11,IF(C11&lt;&gt;"",B11,"")))</f>
        <v/>
      </c>
      <c r="H11" s="10">
        <f>IF(OR(F11="",G11=""),"",F11-G11)</f>
        <v/>
      </c>
      <c r="I11" s="11">
        <f>IF(OR(F11="",G11="",G11=0),"",H11/G11)</f>
        <v/>
      </c>
      <c r="J11" s="10" t="n">
        <v>75</v>
      </c>
      <c r="K11" s="12">
        <f>IF(OR(J11="",J11=0,F11=""),"",F11/J11)</f>
        <v/>
      </c>
      <c r="L11" s="13">
        <f>IF(K11="","",IF(K11&gt;=1,"OK",IF(K11&gt;=0.8,"Вним.","Риск")))</f>
        <v/>
      </c>
    </row>
    <row r="12">
      <c r="A12" s="14" t="inlineStr">
        <is>
          <t>Демо тест</t>
        </is>
      </c>
      <c r="B12" s="9" t="n">
        <v>0</v>
      </c>
      <c r="C12" s="9" t="n"/>
      <c r="D12" s="9" t="n"/>
      <c r="E12" s="9" t="n"/>
      <c r="F12" s="10">
        <f>IF(E12&lt;&gt;"",E12,IF(D12&lt;&gt;"",D12,IF(C12&lt;&gt;"",C12,IF(B12&lt;&gt;"",B12,""))))</f>
        <v/>
      </c>
      <c r="G12" s="10">
        <f>IF(E12&lt;&gt;"",D12,IF(D12&lt;&gt;"",C12,IF(C12&lt;&gt;"",B12,"")))</f>
        <v/>
      </c>
      <c r="H12" s="10">
        <f>IF(OR(F12="",G12=""),"",F12-G12)</f>
        <v/>
      </c>
      <c r="I12" s="11">
        <f>IF(OR(F12="",G12="",G12=0),"",H12/G12)</f>
        <v/>
      </c>
      <c r="J12" s="10" t="n">
        <v>72</v>
      </c>
      <c r="K12" s="12">
        <f>IF(OR(J12="",J12=0,F12=""),"",F12/J12)</f>
        <v/>
      </c>
      <c r="L12" s="13">
        <f>IF(K12="","",IF(K12&gt;=1,"OK",IF(K12&gt;=0.8,"Вним.","Риск")))</f>
        <v/>
      </c>
    </row>
    <row r="13">
      <c r="A13" s="14" t="inlineStr">
        <is>
          <t>КП/Счет</t>
        </is>
      </c>
      <c r="B13" s="9" t="n">
        <v>2</v>
      </c>
      <c r="C13" s="9" t="n"/>
      <c r="D13" s="9" t="n"/>
      <c r="E13" s="9" t="n"/>
      <c r="F13" s="10">
        <f>IF(E13&lt;&gt;"",E13,IF(D13&lt;&gt;"",D13,IF(C13&lt;&gt;"",C13,IF(B13&lt;&gt;"",B13,""))))</f>
        <v/>
      </c>
      <c r="G13" s="10">
        <f>IF(E13&lt;&gt;"",D13,IF(D13&lt;&gt;"",C13,IF(C13&lt;&gt;"",B13,"")))</f>
        <v/>
      </c>
      <c r="H13" s="10">
        <f>IF(OR(F13="",G13=""),"",F13-G13)</f>
        <v/>
      </c>
      <c r="I13" s="11">
        <f>IF(OR(F13="",G13="",G13=0),"",H13/G13)</f>
        <v/>
      </c>
      <c r="J13" s="10" t="n"/>
      <c r="K13" s="12">
        <f>IF(OR(J13="",J13=0,F13=""),"",F13/J13)</f>
        <v/>
      </c>
      <c r="L13" s="13">
        <f>IF(K13="","",IF(K13&gt;=1,"OK",IF(K13&gt;=0.8,"Вним.","Риск")))</f>
        <v/>
      </c>
    </row>
    <row r="14">
      <c r="A14" s="14" t="inlineStr">
        <is>
          <t>Дожимные звонки &gt;3 мин</t>
        </is>
      </c>
      <c r="B14" s="9" t="n">
        <v>30</v>
      </c>
      <c r="C14" s="9" t="n"/>
      <c r="D14" s="9" t="n"/>
      <c r="E14" s="9" t="n"/>
      <c r="F14" s="10">
        <f>IF(E14&lt;&gt;"",E14,IF(D14&lt;&gt;"",D14,IF(C14&lt;&gt;"",C14,IF(B14&lt;&gt;"",B14,""))))</f>
        <v/>
      </c>
      <c r="G14" s="10">
        <f>IF(E14&lt;&gt;"",D14,IF(D14&lt;&gt;"",C14,IF(C14&lt;&gt;"",B14,"")))</f>
        <v/>
      </c>
      <c r="H14" s="10">
        <f>IF(OR(F14="",G14=""),"",F14-G14)</f>
        <v/>
      </c>
      <c r="I14" s="11">
        <f>IF(OR(F14="",G14="",G14=0),"",H14/G14)</f>
        <v/>
      </c>
      <c r="J14" s="10" t="n"/>
      <c r="K14" s="12">
        <f>IF(OR(J14="",J14=0,F14=""),"",F14/J14)</f>
        <v/>
      </c>
      <c r="L14" s="13">
        <f>IF(K14="","",IF(K14&gt;=1,"OK",IF(K14&gt;=0.8,"Вним.","Риск")))</f>
        <v/>
      </c>
    </row>
    <row r="15">
      <c r="A15" s="14" t="inlineStr">
        <is>
          <t>Новые продажи</t>
        </is>
      </c>
      <c r="B15" s="9" t="n">
        <v>0</v>
      </c>
      <c r="C15" s="9" t="n"/>
      <c r="D15" s="9" t="n"/>
      <c r="E15" s="9" t="n"/>
      <c r="F15" s="10">
        <f>IF(E15&lt;&gt;"",E15,IF(D15&lt;&gt;"",D15,IF(C15&lt;&gt;"",C15,IF(B15&lt;&gt;"",B15,""))))</f>
        <v/>
      </c>
      <c r="G15" s="10">
        <f>IF(E15&lt;&gt;"",D15,IF(D15&lt;&gt;"",C15,IF(C15&lt;&gt;"",B15,"")))</f>
        <v/>
      </c>
      <c r="H15" s="10">
        <f>IF(OR(F15="",G15=""),"",F15-G15)</f>
        <v/>
      </c>
      <c r="I15" s="11">
        <f>IF(OR(F15="",G15="",G15=0),"",H15/G15)</f>
        <v/>
      </c>
      <c r="J15" s="10" t="n">
        <v>10</v>
      </c>
      <c r="K15" s="12">
        <f>IF(OR(J15="",J15=0,F15=""),"",F15/J15)</f>
        <v/>
      </c>
      <c r="L15" s="13">
        <f>IF(K15="","",IF(K15&gt;=1,"OK",IF(K15&gt;=0.8,"Вним.","Риск")))</f>
        <v/>
      </c>
    </row>
    <row r="16">
      <c r="B16" s="5" t="n"/>
      <c r="C16" s="5" t="n"/>
      <c r="D16" s="5" t="n"/>
      <c r="E16" s="5" t="n"/>
      <c r="F16" s="5" t="n"/>
      <c r="G16" s="5" t="n"/>
      <c r="H16" s="5" t="n"/>
      <c r="I16" s="6" t="n"/>
      <c r="J16" s="5" t="n"/>
      <c r="K16" s="7" t="n"/>
    </row>
    <row r="17">
      <c r="A17" s="4" t="inlineStr">
        <is>
          <t>КОНВЕРСИИ ОТДЕЛА, %</t>
        </is>
      </c>
    </row>
    <row r="18">
      <c r="A18" s="14" t="inlineStr">
        <is>
          <t>Передано / лиды</t>
        </is>
      </c>
      <c r="B18" s="15">
        <f>IFERROR(B7/B6,"")</f>
        <v/>
      </c>
      <c r="C18" s="15">
        <f>IFERROR(C7/C6,"")</f>
        <v/>
      </c>
      <c r="D18" s="15">
        <f>IFERROR(D7/D6,"")</f>
        <v/>
      </c>
      <c r="E18" s="15">
        <f>IFERROR(E7/E6,"")</f>
        <v/>
      </c>
      <c r="F18" s="16">
        <f>IF(E18&lt;&gt;"",E18,IF(D18&lt;&gt;"",D18,IF(C18&lt;&gt;"",C18,IF(B18&lt;&gt;"",B18,""))))</f>
        <v/>
      </c>
      <c r="G18" s="16">
        <f>IF(E18&lt;&gt;"",D18,IF(D18&lt;&gt;"",C18,IF(C18&lt;&gt;"",B18,"")))</f>
        <v/>
      </c>
      <c r="H18" s="16">
        <f>IF(OR(F18="",G18=""),"",F18-G18)</f>
        <v/>
      </c>
      <c r="I18" s="11">
        <f>IF(OR(F18="",G18="",G18=0),"",H18/G18)</f>
        <v/>
      </c>
      <c r="J18" s="17" t="n"/>
      <c r="K18" s="12">
        <f>IF(OR(J18="",J18=0,F18=""),"",F18/J18)</f>
        <v/>
      </c>
      <c r="L18" s="13">
        <f>IF(K18="","",IF(K18&gt;=1,"OK",IF(K18&gt;=0.8,"Вним.","Риск")))</f>
        <v/>
      </c>
    </row>
    <row r="19">
      <c r="A19" s="14" t="inlineStr">
        <is>
          <t>Квалификация / передано</t>
        </is>
      </c>
      <c r="B19" s="15">
        <f>IFERROR(B8/B7,"")</f>
        <v/>
      </c>
      <c r="C19" s="15">
        <f>IFERROR(C8/C7,"")</f>
        <v/>
      </c>
      <c r="D19" s="15">
        <f>IFERROR(D8/D7,"")</f>
        <v/>
      </c>
      <c r="E19" s="15">
        <f>IFERROR(E8/E7,"")</f>
        <v/>
      </c>
      <c r="F19" s="16">
        <f>IF(E19&lt;&gt;"",E19,IF(D19&lt;&gt;"",D19,IF(C19&lt;&gt;"",C19,IF(B19&lt;&gt;"",B19,""))))</f>
        <v/>
      </c>
      <c r="G19" s="16">
        <f>IF(E19&lt;&gt;"",D19,IF(D19&lt;&gt;"",C19,IF(C19&lt;&gt;"",B19,"")))</f>
        <v/>
      </c>
      <c r="H19" s="16">
        <f>IF(OR(F19="",G19=""),"",F19-G19)</f>
        <v/>
      </c>
      <c r="I19" s="11">
        <f>IF(OR(F19="",G19="",G19=0),"",H19/G19)</f>
        <v/>
      </c>
      <c r="J19" s="17" t="n"/>
      <c r="K19" s="12">
        <f>IF(OR(J19="",J19=0,F19=""),"",F19/J19)</f>
        <v/>
      </c>
      <c r="L19" s="13">
        <f>IF(K19="","",IF(K19&gt;=1,"OK",IF(K19&gt;=0.8,"Вним.","Риск")))</f>
        <v/>
      </c>
    </row>
    <row r="20">
      <c r="A20" s="14" t="inlineStr">
        <is>
          <t>ВКС 1 / квалификация</t>
        </is>
      </c>
      <c r="B20" s="15">
        <f>IFERROR(B9/B8,"")</f>
        <v/>
      </c>
      <c r="C20" s="15">
        <f>IFERROR(C9/C8,"")</f>
        <v/>
      </c>
      <c r="D20" s="15">
        <f>IFERROR(D9/D8,"")</f>
        <v/>
      </c>
      <c r="E20" s="15">
        <f>IFERROR(E9/E8,"")</f>
        <v/>
      </c>
      <c r="F20" s="16">
        <f>IF(E20&lt;&gt;"",E20,IF(D20&lt;&gt;"",D20,IF(C20&lt;&gt;"",C20,IF(B20&lt;&gt;"",B20,""))))</f>
        <v/>
      </c>
      <c r="G20" s="16">
        <f>IF(E20&lt;&gt;"",D20,IF(D20&lt;&gt;"",C20,IF(C20&lt;&gt;"",B20,"")))</f>
        <v/>
      </c>
      <c r="H20" s="16">
        <f>IF(OR(F20="",G20=""),"",F20-G20)</f>
        <v/>
      </c>
      <c r="I20" s="11">
        <f>IF(OR(F20="",G20="",G20=0),"",H20/G20)</f>
        <v/>
      </c>
      <c r="J20" s="17" t="n"/>
      <c r="K20" s="12">
        <f>IF(OR(J20="",J20=0,F20=""),"",F20/J20)</f>
        <v/>
      </c>
      <c r="L20" s="13">
        <f>IF(K20="","",IF(K20&gt;=1,"OK",IF(K20&gt;=0.8,"Вним.","Риск")))</f>
        <v/>
      </c>
    </row>
    <row r="21">
      <c r="A21" s="14" t="inlineStr">
        <is>
          <t>Демо / ВКС 2</t>
        </is>
      </c>
      <c r="B21" s="15">
        <f>IFERROR(B12/B10,"")</f>
        <v/>
      </c>
      <c r="C21" s="15">
        <f>IFERROR(C12/C10,"")</f>
        <v/>
      </c>
      <c r="D21" s="15">
        <f>IFERROR(D12/D10,"")</f>
        <v/>
      </c>
      <c r="E21" s="15">
        <f>IFERROR(E12/E10,"")</f>
        <v/>
      </c>
      <c r="F21" s="16">
        <f>IF(E21&lt;&gt;"",E21,IF(D21&lt;&gt;"",D21,IF(C21&lt;&gt;"",C21,IF(B21&lt;&gt;"",B21,""))))</f>
        <v/>
      </c>
      <c r="G21" s="16">
        <f>IF(E21&lt;&gt;"",D21,IF(D21&lt;&gt;"",C21,IF(C21&lt;&gt;"",B21,"")))</f>
        <v/>
      </c>
      <c r="H21" s="16">
        <f>IF(OR(F21="",G21=""),"",F21-G21)</f>
        <v/>
      </c>
      <c r="I21" s="11">
        <f>IF(OR(F21="",G21="",G21=0),"",H21/G21)</f>
        <v/>
      </c>
      <c r="J21" s="17" t="n"/>
      <c r="K21" s="12">
        <f>IF(OR(J21="",J21=0,F21=""),"",F21/J21)</f>
        <v/>
      </c>
      <c r="L21" s="13">
        <f>IF(K21="","",IF(K21&gt;=1,"OK",IF(K21&gt;=0.8,"Вним.","Риск")))</f>
        <v/>
      </c>
    </row>
    <row r="22">
      <c r="A22" s="14" t="inlineStr">
        <is>
          <t>Продажи / КП</t>
        </is>
      </c>
      <c r="B22" s="15">
        <f>IFERROR(B15/B13,"")</f>
        <v/>
      </c>
      <c r="C22" s="15">
        <f>IFERROR(C15/C13,"")</f>
        <v/>
      </c>
      <c r="D22" s="15">
        <f>IFERROR(D15/D13,"")</f>
        <v/>
      </c>
      <c r="E22" s="15">
        <f>IFERROR(E15/E13,"")</f>
        <v/>
      </c>
      <c r="F22" s="16">
        <f>IF(E22&lt;&gt;"",E22,IF(D22&lt;&gt;"",D22,IF(C22&lt;&gt;"",C22,IF(B22&lt;&gt;"",B22,""))))</f>
        <v/>
      </c>
      <c r="G22" s="16">
        <f>IF(E22&lt;&gt;"",D22,IF(D22&lt;&gt;"",C22,IF(C22&lt;&gt;"",B22,"")))</f>
        <v/>
      </c>
      <c r="H22" s="16">
        <f>IF(OR(F22="",G22=""),"",F22-G22)</f>
        <v/>
      </c>
      <c r="I22" s="11">
        <f>IF(OR(F22="",G22="",G22=0),"",H22/G22)</f>
        <v/>
      </c>
      <c r="J22" s="17" t="n"/>
      <c r="K22" s="12">
        <f>IF(OR(J22="",J22=0,F22=""),"",F22/J22)</f>
        <v/>
      </c>
      <c r="L22" s="13">
        <f>IF(K22="","",IF(K22&gt;=1,"OK",IF(K22&gt;=0.8,"Вним.","Риск")))</f>
        <v/>
      </c>
    </row>
    <row r="23">
      <c r="B23" s="5" t="n"/>
      <c r="C23" s="5" t="n"/>
      <c r="D23" s="5" t="n"/>
      <c r="E23" s="5" t="n"/>
      <c r="F23" s="5" t="n"/>
      <c r="G23" s="5" t="n"/>
      <c r="H23" s="5" t="n"/>
      <c r="I23" s="6" t="n"/>
      <c r="J23" s="5" t="n"/>
      <c r="K23" s="7" t="n"/>
    </row>
    <row r="24">
      <c r="A24" s="4" t="inlineStr">
        <is>
          <t>ВОРОНКИ ИТОГО</t>
        </is>
      </c>
    </row>
    <row r="25">
      <c r="A25" s="14" t="inlineStr">
        <is>
          <t>Sales</t>
        </is>
      </c>
      <c r="B25" s="9" t="n">
        <v>74</v>
      </c>
      <c r="C25" s="9" t="n"/>
      <c r="D25" s="9" t="n"/>
      <c r="E25" s="9" t="n"/>
      <c r="F25" s="10">
        <f>IF(E25&lt;&gt;"",E25,IF(D25&lt;&gt;"",D25,IF(C25&lt;&gt;"",C25,IF(B25&lt;&gt;"",B25,""))))</f>
        <v/>
      </c>
      <c r="G25" s="10">
        <f>IF(E25&lt;&gt;"",D25,IF(D25&lt;&gt;"",C25,IF(C25&lt;&gt;"",B25,"")))</f>
        <v/>
      </c>
      <c r="H25" s="10">
        <f>IF(OR(F25="",G25=""),"",F25-G25)</f>
        <v/>
      </c>
      <c r="I25" s="11">
        <f>IF(OR(F25="",G25="",G25=0),"",H25/G25)</f>
        <v/>
      </c>
      <c r="J25" s="10" t="n">
        <v>120</v>
      </c>
      <c r="K25" s="12">
        <f>IF(OR(J25="",J25=0,F25=""),"",F25/J25)</f>
        <v/>
      </c>
      <c r="L25" s="13">
        <f>IF(K25="","",IF(K25&gt;=1,"OK",IF(K25&gt;=0.8,"Вним.","Риск")))</f>
        <v/>
      </c>
    </row>
    <row r="26">
      <c r="A26" s="14" t="inlineStr">
        <is>
          <t>Фокусная группа</t>
        </is>
      </c>
      <c r="B26" s="9" t="n">
        <v>62</v>
      </c>
      <c r="C26" s="9" t="n"/>
      <c r="D26" s="9" t="n"/>
      <c r="E26" s="9" t="n"/>
      <c r="F26" s="10">
        <f>IF(E26&lt;&gt;"",E26,IF(D26&lt;&gt;"",D26,IF(C26&lt;&gt;"",C26,IF(B26&lt;&gt;"",B26,""))))</f>
        <v/>
      </c>
      <c r="G26" s="10">
        <f>IF(E26&lt;&gt;"",D26,IF(D26&lt;&gt;"",C26,IF(C26&lt;&gt;"",B26,"")))</f>
        <v/>
      </c>
      <c r="H26" s="10">
        <f>IF(OR(F26="",G26=""),"",F26-G26)</f>
        <v/>
      </c>
      <c r="I26" s="11">
        <f>IF(OR(F26="",G26="",G26=0),"",H26/G26)</f>
        <v/>
      </c>
      <c r="J26" s="10" t="n"/>
      <c r="K26" s="12">
        <f>IF(OR(J26="",J26=0,F26=""),"",F26/J26)</f>
        <v/>
      </c>
      <c r="L26" s="13">
        <f>IF(K26="","",IF(K26&gt;=1,"OK",IF(K26&gt;=0.8,"Вним.","Риск")))</f>
        <v/>
      </c>
    </row>
    <row r="27">
      <c r="A27" s="14" t="inlineStr">
        <is>
          <t>Длинные сделки</t>
        </is>
      </c>
      <c r="B27" s="9" t="n">
        <v>291</v>
      </c>
      <c r="C27" s="9" t="n"/>
      <c r="D27" s="9" t="n"/>
      <c r="E27" s="9" t="n"/>
      <c r="F27" s="10">
        <f>IF(E27&lt;&gt;"",E27,IF(D27&lt;&gt;"",D27,IF(C27&lt;&gt;"",C27,IF(B27&lt;&gt;"",B27,""))))</f>
        <v/>
      </c>
      <c r="G27" s="10">
        <f>IF(E27&lt;&gt;"",D27,IF(D27&lt;&gt;"",C27,IF(C27&lt;&gt;"",B27,"")))</f>
        <v/>
      </c>
      <c r="H27" s="10">
        <f>IF(OR(F27="",G27=""),"",F27-G27)</f>
        <v/>
      </c>
      <c r="I27" s="11">
        <f>IF(OR(F27="",G27="",G27=0),"",H27/G27)</f>
        <v/>
      </c>
      <c r="J27" s="10" t="n">
        <v>240</v>
      </c>
      <c r="K27" s="12">
        <f>IF(OR(J27="",J27=0,F27=""),"",F27/J27)</f>
        <v/>
      </c>
      <c r="L27" s="13">
        <f>IF(K27="","",IF(K27&gt;=1,"OK",IF(K27&gt;=0.8,"Вним.","Риск")))</f>
        <v/>
      </c>
    </row>
    <row r="28">
      <c r="A28" s="14" t="inlineStr">
        <is>
          <t>UP-Sales</t>
        </is>
      </c>
      <c r="B28" s="9" t="n">
        <v>36</v>
      </c>
      <c r="C28" s="9" t="n"/>
      <c r="D28" s="9" t="n"/>
      <c r="E28" s="9" t="n"/>
      <c r="F28" s="10">
        <f>IF(E28&lt;&gt;"",E28,IF(D28&lt;&gt;"",D28,IF(C28&lt;&gt;"",C28,IF(B28&lt;&gt;"",B28,""))))</f>
        <v/>
      </c>
      <c r="G28" s="10">
        <f>IF(E28&lt;&gt;"",D28,IF(D28&lt;&gt;"",C28,IF(C28&lt;&gt;"",B28,"")))</f>
        <v/>
      </c>
      <c r="H28" s="10">
        <f>IF(OR(F28="",G28=""),"",F28-G28)</f>
        <v/>
      </c>
      <c r="I28" s="11">
        <f>IF(OR(F28="",G28="",G28=0),"",H28/G28)</f>
        <v/>
      </c>
      <c r="J28" s="10" t="n"/>
      <c r="K28" s="12">
        <f>IF(OR(J28="",J28=0,F28=""),"",F28/J28)</f>
        <v/>
      </c>
      <c r="L28" s="13">
        <f>IF(K28="","",IF(K28&gt;=1,"OK",IF(K28&gt;=0.8,"Вним.","Риск")))</f>
        <v/>
      </c>
    </row>
    <row r="29">
      <c r="A29" s="14" t="inlineStr">
        <is>
          <t>Переход Sale -&gt; ДС</t>
        </is>
      </c>
      <c r="B29" s="9" t="n">
        <v>6</v>
      </c>
      <c r="C29" s="9" t="n"/>
      <c r="D29" s="9" t="n"/>
      <c r="E29" s="9" t="n"/>
      <c r="F29" s="10">
        <f>IF(E29&lt;&gt;"",E29,IF(D29&lt;&gt;"",D29,IF(C29&lt;&gt;"",C29,IF(B29&lt;&gt;"",B29,""))))</f>
        <v/>
      </c>
      <c r="G29" s="10">
        <f>IF(E29&lt;&gt;"",D29,IF(D29&lt;&gt;"",C29,IF(C29&lt;&gt;"",B29,"")))</f>
        <v/>
      </c>
      <c r="H29" s="10">
        <f>IF(OR(F29="",G29=""),"",F29-G29)</f>
        <v/>
      </c>
      <c r="I29" s="11">
        <f>IF(OR(F29="",G29="",G29=0),"",H29/G29)</f>
        <v/>
      </c>
      <c r="J29" s="10" t="n"/>
      <c r="K29" s="12">
        <f>IF(OR(J29="",J29=0,F29=""),"",F29/J29)</f>
        <v/>
      </c>
      <c r="L29" s="13">
        <f>IF(K29="","",IF(K29&gt;=1,"OK",IF(K29&gt;=0.8,"Вним.","Риск")))</f>
        <v/>
      </c>
    </row>
    <row r="30">
      <c r="A30" s="14" t="inlineStr">
        <is>
          <t>Переход ДС -&gt; Фокус/Sale</t>
        </is>
      </c>
      <c r="B30" s="9" t="n">
        <v>0</v>
      </c>
      <c r="C30" s="9" t="n"/>
      <c r="D30" s="9" t="n"/>
      <c r="E30" s="9" t="n"/>
      <c r="F30" s="10">
        <f>IF(E30&lt;&gt;"",E30,IF(D30&lt;&gt;"",D30,IF(C30&lt;&gt;"",C30,IF(B30&lt;&gt;"",B30,""))))</f>
        <v/>
      </c>
      <c r="G30" s="10">
        <f>IF(E30&lt;&gt;"",D30,IF(D30&lt;&gt;"",C30,IF(C30&lt;&gt;"",B30,"")))</f>
        <v/>
      </c>
      <c r="H30" s="10">
        <f>IF(OR(F30="",G30=""),"",F30-G30)</f>
        <v/>
      </c>
      <c r="I30" s="11">
        <f>IF(OR(F30="",G30="",G30=0),"",H30/G30)</f>
        <v/>
      </c>
      <c r="J30" s="10" t="n"/>
      <c r="K30" s="12">
        <f>IF(OR(J30="",J30=0,F30=""),"",F30/J30)</f>
        <v/>
      </c>
      <c r="L30" s="13">
        <f>IF(K30="","",IF(K30&gt;=1,"OK",IF(K30&gt;=0.8,"Вним.","Риск")))</f>
        <v/>
      </c>
    </row>
    <row r="31">
      <c r="A31" s="14" t="inlineStr">
        <is>
          <t>Всего активных</t>
        </is>
      </c>
      <c r="B31" s="9" t="n">
        <v>136</v>
      </c>
      <c r="C31" s="9" t="n"/>
      <c r="D31" s="9" t="n"/>
      <c r="E31" s="9" t="n"/>
      <c r="F31" s="10">
        <f>IF(E31&lt;&gt;"",E31,IF(D31&lt;&gt;"",D31,IF(C31&lt;&gt;"",C31,IF(B31&lt;&gt;"",B31,""))))</f>
        <v/>
      </c>
      <c r="G31" s="10">
        <f>IF(E31&lt;&gt;"",D31,IF(D31&lt;&gt;"",C31,IF(C31&lt;&gt;"",B31,"")))</f>
        <v/>
      </c>
      <c r="H31" s="10">
        <f>IF(OR(F31="",G31=""),"",F31-G31)</f>
        <v/>
      </c>
      <c r="I31" s="11">
        <f>IF(OR(F31="",G31="",G31=0),"",H31/G31)</f>
        <v/>
      </c>
      <c r="J31" s="10" t="n"/>
      <c r="K31" s="12">
        <f>IF(OR(J31="",J31=0,F31=""),"",F31/J31)</f>
        <v/>
      </c>
      <c r="L31" s="13">
        <f>IF(K31="","",IF(K31&gt;=1,"OK",IF(K31&gt;=0.8,"Вним.","Риск")))</f>
        <v/>
      </c>
    </row>
    <row r="32">
      <c r="B32" s="5" t="n"/>
      <c r="C32" s="5" t="n"/>
      <c r="D32" s="5" t="n"/>
      <c r="E32" s="5" t="n"/>
      <c r="F32" s="5" t="n"/>
      <c r="G32" s="5" t="n"/>
      <c r="H32" s="5" t="n"/>
      <c r="I32" s="6" t="n"/>
      <c r="J32" s="5" t="n"/>
      <c r="K32" s="7" t="n"/>
    </row>
    <row r="33">
      <c r="A33" s="4" t="inlineStr">
        <is>
          <t>ИВАН + МАРИЯ</t>
        </is>
      </c>
    </row>
    <row r="34">
      <c r="A34" s="14" t="inlineStr">
        <is>
          <t>Новые лиды</t>
        </is>
      </c>
      <c r="B34" s="9" t="n">
        <v>23</v>
      </c>
      <c r="C34" s="9" t="n"/>
      <c r="D34" s="9" t="n"/>
      <c r="E34" s="9" t="n"/>
      <c r="F34" s="10">
        <f>IF(E34&lt;&gt;"",E34,IF(D34&lt;&gt;"",D34,IF(C34&lt;&gt;"",C34,IF(B34&lt;&gt;"",B34,""))))</f>
        <v/>
      </c>
      <c r="G34" s="10">
        <f>IF(E34&lt;&gt;"",D34,IF(D34&lt;&gt;"",C34,IF(C34&lt;&gt;"",B34,"")))</f>
        <v/>
      </c>
      <c r="H34" s="10">
        <f>IF(OR(F34="",G34=""),"",F34-G34)</f>
        <v/>
      </c>
      <c r="I34" s="11">
        <f>IF(OR(F34="",G34="",G34=0),"",H34/G34)</f>
        <v/>
      </c>
      <c r="J34" s="10" t="n"/>
      <c r="K34" s="12">
        <f>IF(OR(J34="",J34=0,F34=""),"",F34/J34)</f>
        <v/>
      </c>
      <c r="L34" s="13">
        <f>IF(K34="","",IF(K34&gt;=1,"OK",IF(K34&gt;=0.8,"Вним.","Риск")))</f>
        <v/>
      </c>
    </row>
    <row r="35">
      <c r="A35" s="14" t="inlineStr">
        <is>
          <t>Передано менеджерам</t>
        </is>
      </c>
      <c r="B35" s="9" t="n">
        <v>4</v>
      </c>
      <c r="C35" s="9" t="n"/>
      <c r="D35" s="9" t="n"/>
      <c r="E35" s="9" t="n"/>
      <c r="F35" s="10">
        <f>IF(E35&lt;&gt;"",E35,IF(D35&lt;&gt;"",D35,IF(C35&lt;&gt;"",C35,IF(B35&lt;&gt;"",B35,""))))</f>
        <v/>
      </c>
      <c r="G35" s="10">
        <f>IF(E35&lt;&gt;"",D35,IF(D35&lt;&gt;"",C35,IF(C35&lt;&gt;"",B35,"")))</f>
        <v/>
      </c>
      <c r="H35" s="10">
        <f>IF(OR(F35="",G35=""),"",F35-G35)</f>
        <v/>
      </c>
      <c r="I35" s="11">
        <f>IF(OR(F35="",G35="",G35=0),"",H35/G35)</f>
        <v/>
      </c>
      <c r="J35" s="10" t="n">
        <v>80</v>
      </c>
      <c r="K35" s="12">
        <f>IF(OR(J35="",J35=0,F35=""),"",F35/J35)</f>
        <v/>
      </c>
      <c r="L35" s="13">
        <f>IF(K35="","",IF(K35&gt;=1,"OK",IF(K35&gt;=0.8,"Вним.","Риск")))</f>
        <v/>
      </c>
    </row>
    <row r="36">
      <c r="A36" s="14" t="inlineStr">
        <is>
          <t>Квалификация</t>
        </is>
      </c>
      <c r="B36" s="9" t="n">
        <v>4</v>
      </c>
      <c r="C36" s="9" t="n"/>
      <c r="D36" s="9" t="n"/>
      <c r="E36" s="9" t="n"/>
      <c r="F36" s="10">
        <f>IF(E36&lt;&gt;"",E36,IF(D36&lt;&gt;"",D36,IF(C36&lt;&gt;"",C36,IF(B36&lt;&gt;"",B36,""))))</f>
        <v/>
      </c>
      <c r="G36" s="10">
        <f>IF(E36&lt;&gt;"",D36,IF(D36&lt;&gt;"",C36,IF(C36&lt;&gt;"",B36,"")))</f>
        <v/>
      </c>
      <c r="H36" s="10">
        <f>IF(OR(F36="",G36=""),"",F36-G36)</f>
        <v/>
      </c>
      <c r="I36" s="11">
        <f>IF(OR(F36="",G36="",G36=0),"",H36/G36)</f>
        <v/>
      </c>
      <c r="J36" s="10" t="n"/>
      <c r="K36" s="12">
        <f>IF(OR(J36="",J36=0,F36=""),"",F36/J36)</f>
        <v/>
      </c>
      <c r="L36" s="13">
        <f>IF(K36="","",IF(K36&gt;=1,"OK",IF(K36&gt;=0.8,"Вним.","Риск")))</f>
        <v/>
      </c>
    </row>
    <row r="37">
      <c r="A37" s="14" t="inlineStr">
        <is>
          <t>ВКС 1</t>
        </is>
      </c>
      <c r="B37" s="9" t="n">
        <v>2</v>
      </c>
      <c r="C37" s="9" t="n"/>
      <c r="D37" s="9" t="n"/>
      <c r="E37" s="9" t="n"/>
      <c r="F37" s="10">
        <f>IF(E37&lt;&gt;"",E37,IF(D37&lt;&gt;"",D37,IF(C37&lt;&gt;"",C37,IF(B37&lt;&gt;"",B37,""))))</f>
        <v/>
      </c>
      <c r="G37" s="10">
        <f>IF(E37&lt;&gt;"",D37,IF(D37&lt;&gt;"",C37,IF(C37&lt;&gt;"",B37,"")))</f>
        <v/>
      </c>
      <c r="H37" s="10">
        <f>IF(OR(F37="",G37=""),"",F37-G37)</f>
        <v/>
      </c>
      <c r="I37" s="11">
        <f>IF(OR(F37="",G37="",G37=0),"",H37/G37)</f>
        <v/>
      </c>
      <c r="J37" s="10" t="n">
        <v>60</v>
      </c>
      <c r="K37" s="12">
        <f>IF(OR(J37="",J37=0,F37=""),"",F37/J37)</f>
        <v/>
      </c>
      <c r="L37" s="13">
        <f>IF(K37="","",IF(K37&gt;=1,"OK",IF(K37&gt;=0.8,"Вним.","Риск")))</f>
        <v/>
      </c>
    </row>
    <row r="38">
      <c r="A38" s="14" t="inlineStr">
        <is>
          <t>ВКС 2</t>
        </is>
      </c>
      <c r="B38" s="9" t="n">
        <v>4</v>
      </c>
      <c r="C38" s="9" t="n"/>
      <c r="D38" s="9" t="n"/>
      <c r="E38" s="9" t="n"/>
      <c r="F38" s="10">
        <f>IF(E38&lt;&gt;"",E38,IF(D38&lt;&gt;"",D38,IF(C38&lt;&gt;"",C38,IF(B38&lt;&gt;"",B38,""))))</f>
        <v/>
      </c>
      <c r="G38" s="10">
        <f>IF(E38&lt;&gt;"",D38,IF(D38&lt;&gt;"",C38,IF(C38&lt;&gt;"",B38,"")))</f>
        <v/>
      </c>
      <c r="H38" s="10">
        <f>IF(OR(F38="",G38=""),"",F38-G38)</f>
        <v/>
      </c>
      <c r="I38" s="11">
        <f>IF(OR(F38="",G38="",G38=0),"",H38/G38)</f>
        <v/>
      </c>
      <c r="J38" s="10" t="n">
        <v>120</v>
      </c>
      <c r="K38" s="12">
        <f>IF(OR(J38="",J38=0,F38=""),"",F38/J38)</f>
        <v/>
      </c>
      <c r="L38" s="13">
        <f>IF(K38="","",IF(K38&gt;=1,"OK",IF(K38&gt;=0.8,"Вним.","Риск")))</f>
        <v/>
      </c>
    </row>
    <row r="39">
      <c r="A39" s="14" t="inlineStr">
        <is>
          <t>Подготовка к ДТ</t>
        </is>
      </c>
      <c r="B39" s="9" t="n">
        <v>1</v>
      </c>
      <c r="C39" s="9" t="n"/>
      <c r="D39" s="9" t="n"/>
      <c r="E39" s="9" t="n"/>
      <c r="F39" s="10">
        <f>IF(E39&lt;&gt;"",E39,IF(D39&lt;&gt;"",D39,IF(C39&lt;&gt;"",C39,IF(B39&lt;&gt;"",B39,""))))</f>
        <v/>
      </c>
      <c r="G39" s="10">
        <f>IF(E39&lt;&gt;"",D39,IF(D39&lt;&gt;"",C39,IF(C39&lt;&gt;"",B39,"")))</f>
        <v/>
      </c>
      <c r="H39" s="10">
        <f>IF(OR(F39="",G39=""),"",F39-G39)</f>
        <v/>
      </c>
      <c r="I39" s="11">
        <f>IF(OR(F39="",G39="",G39=0),"",H39/G39)</f>
        <v/>
      </c>
      <c r="J39" s="10" t="n">
        <v>50</v>
      </c>
      <c r="K39" s="12">
        <f>IF(OR(J39="",J39=0,F39=""),"",F39/J39)</f>
        <v/>
      </c>
      <c r="L39" s="13">
        <f>IF(K39="","",IF(K39&gt;=1,"OK",IF(K39&gt;=0.8,"Вним.","Риск")))</f>
        <v/>
      </c>
    </row>
    <row r="40">
      <c r="A40" s="14" t="inlineStr">
        <is>
          <t>Демо тест</t>
        </is>
      </c>
      <c r="B40" s="9" t="n">
        <v>0</v>
      </c>
      <c r="C40" s="9" t="n"/>
      <c r="D40" s="9" t="n"/>
      <c r="E40" s="9" t="n"/>
      <c r="F40" s="10">
        <f>IF(E40&lt;&gt;"",E40,IF(D40&lt;&gt;"",D40,IF(C40&lt;&gt;"",C40,IF(B40&lt;&gt;"",B40,""))))</f>
        <v/>
      </c>
      <c r="G40" s="10">
        <f>IF(E40&lt;&gt;"",D40,IF(D40&lt;&gt;"",C40,IF(C40&lt;&gt;"",B40,"")))</f>
        <v/>
      </c>
      <c r="H40" s="10">
        <f>IF(OR(F40="",G40=""),"",F40-G40)</f>
        <v/>
      </c>
      <c r="I40" s="11">
        <f>IF(OR(F40="",G40="",G40=0),"",H40/G40)</f>
        <v/>
      </c>
      <c r="J40" s="10" t="n">
        <v>48</v>
      </c>
      <c r="K40" s="12">
        <f>IF(OR(J40="",J40=0,F40=""),"",F40/J40)</f>
        <v/>
      </c>
      <c r="L40" s="13">
        <f>IF(K40="","",IF(K40&gt;=1,"OK",IF(K40&gt;=0.8,"Вним.","Риск")))</f>
        <v/>
      </c>
    </row>
    <row r="41">
      <c r="A41" s="14" t="inlineStr">
        <is>
          <t>КП/Счет</t>
        </is>
      </c>
      <c r="B41" s="9" t="n">
        <v>2</v>
      </c>
      <c r="C41" s="9" t="n"/>
      <c r="D41" s="9" t="n"/>
      <c r="E41" s="9" t="n"/>
      <c r="F41" s="10">
        <f>IF(E41&lt;&gt;"",E41,IF(D41&lt;&gt;"",D41,IF(C41&lt;&gt;"",C41,IF(B41&lt;&gt;"",B41,""))))</f>
        <v/>
      </c>
      <c r="G41" s="10">
        <f>IF(E41&lt;&gt;"",D41,IF(D41&lt;&gt;"",C41,IF(C41&lt;&gt;"",B41,"")))</f>
        <v/>
      </c>
      <c r="H41" s="10">
        <f>IF(OR(F41="",G41=""),"",F41-G41)</f>
        <v/>
      </c>
      <c r="I41" s="11">
        <f>IF(OR(F41="",G41="",G41=0),"",H41/G41)</f>
        <v/>
      </c>
      <c r="J41" s="10" t="n"/>
      <c r="K41" s="12">
        <f>IF(OR(J41="",J41=0,F41=""),"",F41/J41)</f>
        <v/>
      </c>
      <c r="L41" s="13">
        <f>IF(K41="","",IF(K41&gt;=1,"OK",IF(K41&gt;=0.8,"Вним.","Риск")))</f>
        <v/>
      </c>
    </row>
    <row r="42">
      <c r="A42" s="14" t="inlineStr">
        <is>
          <t>Дожимные звонки &gt;3 мин</t>
        </is>
      </c>
      <c r="B42" s="9" t="n">
        <v>26</v>
      </c>
      <c r="C42" s="9" t="n"/>
      <c r="D42" s="9" t="n"/>
      <c r="E42" s="9" t="n"/>
      <c r="F42" s="10">
        <f>IF(E42&lt;&gt;"",E42,IF(D42&lt;&gt;"",D42,IF(C42&lt;&gt;"",C42,IF(B42&lt;&gt;"",B42,""))))</f>
        <v/>
      </c>
      <c r="G42" s="10">
        <f>IF(E42&lt;&gt;"",D42,IF(D42&lt;&gt;"",C42,IF(C42&lt;&gt;"",B42,"")))</f>
        <v/>
      </c>
      <c r="H42" s="10">
        <f>IF(OR(F42="",G42=""),"",F42-G42)</f>
        <v/>
      </c>
      <c r="I42" s="11">
        <f>IF(OR(F42="",G42="",G42=0),"",H42/G42)</f>
        <v/>
      </c>
      <c r="J42" s="10" t="n"/>
      <c r="K42" s="12">
        <f>IF(OR(J42="",J42=0,F42=""),"",F42/J42)</f>
        <v/>
      </c>
      <c r="L42" s="13">
        <f>IF(K42="","",IF(K42&gt;=1,"OK",IF(K42&gt;=0.8,"Вним.","Риск")))</f>
        <v/>
      </c>
    </row>
    <row r="43">
      <c r="A43" s="14" t="inlineStr">
        <is>
          <t>Новые продажи</t>
        </is>
      </c>
      <c r="B43" s="9" t="n">
        <v>0</v>
      </c>
      <c r="C43" s="9" t="n"/>
      <c r="D43" s="9" t="n"/>
      <c r="E43" s="9" t="n"/>
      <c r="F43" s="10">
        <f>IF(E43&lt;&gt;"",E43,IF(D43&lt;&gt;"",D43,IF(C43&lt;&gt;"",C43,IF(B43&lt;&gt;"",B43,""))))</f>
        <v/>
      </c>
      <c r="G43" s="10">
        <f>IF(E43&lt;&gt;"",D43,IF(D43&lt;&gt;"",C43,IF(C43&lt;&gt;"",B43,"")))</f>
        <v/>
      </c>
      <c r="H43" s="10">
        <f>IF(OR(F43="",G43=""),"",F43-G43)</f>
        <v/>
      </c>
      <c r="I43" s="11">
        <f>IF(OR(F43="",G43="",G43=0),"",H43/G43)</f>
        <v/>
      </c>
      <c r="J43" s="10" t="n">
        <v>6</v>
      </c>
      <c r="K43" s="12">
        <f>IF(OR(J43="",J43=0,F43=""),"",F43/J43)</f>
        <v/>
      </c>
      <c r="L43" s="13">
        <f>IF(K43="","",IF(K43&gt;=1,"OK",IF(K43&gt;=0.8,"Вним.","Риск")))</f>
        <v/>
      </c>
    </row>
    <row r="44">
      <c r="A44" s="14" t="inlineStr">
        <is>
          <t>Sales</t>
        </is>
      </c>
      <c r="B44" s="9" t="n">
        <v>24</v>
      </c>
      <c r="C44" s="9" t="n"/>
      <c r="D44" s="9" t="n"/>
      <c r="E44" s="9" t="n"/>
      <c r="F44" s="10">
        <f>IF(E44&lt;&gt;"",E44,IF(D44&lt;&gt;"",D44,IF(C44&lt;&gt;"",C44,IF(B44&lt;&gt;"",B44,""))))</f>
        <v/>
      </c>
      <c r="G44" s="10">
        <f>IF(E44&lt;&gt;"",D44,IF(D44&lt;&gt;"",C44,IF(C44&lt;&gt;"",B44,"")))</f>
        <v/>
      </c>
      <c r="H44" s="10">
        <f>IF(OR(F44="",G44=""),"",F44-G44)</f>
        <v/>
      </c>
      <c r="I44" s="11">
        <f>IF(OR(F44="",G44="",G44=0),"",H44/G44)</f>
        <v/>
      </c>
      <c r="J44" s="10" t="n">
        <v>80</v>
      </c>
      <c r="K44" s="12">
        <f>IF(OR(J44="",J44=0,F44=""),"",F44/J44)</f>
        <v/>
      </c>
      <c r="L44" s="13">
        <f>IF(K44="","",IF(K44&gt;=1,"OK",IF(K44&gt;=0.8,"Вним.","Риск")))</f>
        <v/>
      </c>
    </row>
    <row r="45">
      <c r="A45" s="14" t="inlineStr">
        <is>
          <t>Фокусная группа</t>
        </is>
      </c>
      <c r="B45" s="9" t="n">
        <v>9</v>
      </c>
      <c r="C45" s="9" t="n"/>
      <c r="D45" s="9" t="n"/>
      <c r="E45" s="9" t="n"/>
      <c r="F45" s="10">
        <f>IF(E45&lt;&gt;"",E45,IF(D45&lt;&gt;"",D45,IF(C45&lt;&gt;"",C45,IF(B45&lt;&gt;"",B45,""))))</f>
        <v/>
      </c>
      <c r="G45" s="10">
        <f>IF(E45&lt;&gt;"",D45,IF(D45&lt;&gt;"",C45,IF(C45&lt;&gt;"",B45,"")))</f>
        <v/>
      </c>
      <c r="H45" s="10">
        <f>IF(OR(F45="",G45=""),"",F45-G45)</f>
        <v/>
      </c>
      <c r="I45" s="11">
        <f>IF(OR(F45="",G45="",G45=0),"",H45/G45)</f>
        <v/>
      </c>
      <c r="J45" s="10" t="n"/>
      <c r="K45" s="12">
        <f>IF(OR(J45="",J45=0,F45=""),"",F45/J45)</f>
        <v/>
      </c>
      <c r="L45" s="13">
        <f>IF(K45="","",IF(K45&gt;=1,"OK",IF(K45&gt;=0.8,"Вним.","Риск")))</f>
        <v/>
      </c>
    </row>
    <row r="46">
      <c r="A46" s="14" t="inlineStr">
        <is>
          <t>Длинные сделки</t>
        </is>
      </c>
      <c r="B46" s="9" t="n">
        <v>139</v>
      </c>
      <c r="C46" s="9" t="n"/>
      <c r="D46" s="9" t="n"/>
      <c r="E46" s="9" t="n"/>
      <c r="F46" s="10">
        <f>IF(E46&lt;&gt;"",E46,IF(D46&lt;&gt;"",D46,IF(C46&lt;&gt;"",C46,IF(B46&lt;&gt;"",B46,""))))</f>
        <v/>
      </c>
      <c r="G46" s="10">
        <f>IF(E46&lt;&gt;"",D46,IF(D46&lt;&gt;"",C46,IF(C46&lt;&gt;"",B46,"")))</f>
        <v/>
      </c>
      <c r="H46" s="10">
        <f>IF(OR(F46="",G46=""),"",F46-G46)</f>
        <v/>
      </c>
      <c r="I46" s="11">
        <f>IF(OR(F46="",G46="",G46=0),"",H46/G46)</f>
        <v/>
      </c>
      <c r="J46" s="10" t="n">
        <v>160</v>
      </c>
      <c r="K46" s="12">
        <f>IF(OR(J46="",J46=0,F46=""),"",F46/J46)</f>
        <v/>
      </c>
      <c r="L46" s="13">
        <f>IF(K46="","",IF(K46&gt;=1,"OK",IF(K46&gt;=0.8,"Вним.","Риск")))</f>
        <v/>
      </c>
    </row>
    <row r="47">
      <c r="A47" s="14" t="inlineStr">
        <is>
          <t>UP-Sales</t>
        </is>
      </c>
      <c r="B47" s="9" t="n">
        <v>3</v>
      </c>
      <c r="C47" s="9" t="n"/>
      <c r="D47" s="9" t="n"/>
      <c r="E47" s="9" t="n"/>
      <c r="F47" s="10">
        <f>IF(E47&lt;&gt;"",E47,IF(D47&lt;&gt;"",D47,IF(C47&lt;&gt;"",C47,IF(B47&lt;&gt;"",B47,""))))</f>
        <v/>
      </c>
      <c r="G47" s="10">
        <f>IF(E47&lt;&gt;"",D47,IF(D47&lt;&gt;"",C47,IF(C47&lt;&gt;"",B47,"")))</f>
        <v/>
      </c>
      <c r="H47" s="10">
        <f>IF(OR(F47="",G47=""),"",F47-G47)</f>
        <v/>
      </c>
      <c r="I47" s="11">
        <f>IF(OR(F47="",G47="",G47=0),"",H47/G47)</f>
        <v/>
      </c>
      <c r="J47" s="10" t="n"/>
      <c r="K47" s="12">
        <f>IF(OR(J47="",J47=0,F47=""),"",F47/J47)</f>
        <v/>
      </c>
      <c r="L47" s="13">
        <f>IF(K47="","",IF(K47&gt;=1,"OK",IF(K47&gt;=0.8,"Вним.","Риск")))</f>
        <v/>
      </c>
    </row>
    <row r="48">
      <c r="A48" s="14" t="inlineStr">
        <is>
          <t>Переход Sale -&gt; ДС</t>
        </is>
      </c>
      <c r="B48" s="9" t="n">
        <v>6</v>
      </c>
      <c r="C48" s="9" t="n"/>
      <c r="D48" s="9" t="n"/>
      <c r="E48" s="9" t="n"/>
      <c r="F48" s="10">
        <f>IF(E48&lt;&gt;"",E48,IF(D48&lt;&gt;"",D48,IF(C48&lt;&gt;"",C48,IF(B48&lt;&gt;"",B48,""))))</f>
        <v/>
      </c>
      <c r="G48" s="10">
        <f>IF(E48&lt;&gt;"",D48,IF(D48&lt;&gt;"",C48,IF(C48&lt;&gt;"",B48,"")))</f>
        <v/>
      </c>
      <c r="H48" s="10">
        <f>IF(OR(F48="",G48=""),"",F48-G48)</f>
        <v/>
      </c>
      <c r="I48" s="11">
        <f>IF(OR(F48="",G48="",G48=0),"",H48/G48)</f>
        <v/>
      </c>
      <c r="J48" s="10" t="n"/>
      <c r="K48" s="12">
        <f>IF(OR(J48="",J48=0,F48=""),"",F48/J48)</f>
        <v/>
      </c>
      <c r="L48" s="13">
        <f>IF(K48="","",IF(K48&gt;=1,"OK",IF(K48&gt;=0.8,"Вним.","Риск")))</f>
        <v/>
      </c>
    </row>
    <row r="49">
      <c r="A49" s="14" t="inlineStr">
        <is>
          <t>Переход ДС -&gt; Фокус/Sale</t>
        </is>
      </c>
      <c r="B49" s="9" t="n">
        <v>0</v>
      </c>
      <c r="C49" s="9" t="n"/>
      <c r="D49" s="9" t="n"/>
      <c r="E49" s="9" t="n"/>
      <c r="F49" s="10">
        <f>IF(E49&lt;&gt;"",E49,IF(D49&lt;&gt;"",D49,IF(C49&lt;&gt;"",C49,IF(B49&lt;&gt;"",B49,""))))</f>
        <v/>
      </c>
      <c r="G49" s="10">
        <f>IF(E49&lt;&gt;"",D49,IF(D49&lt;&gt;"",C49,IF(C49&lt;&gt;"",B49,"")))</f>
        <v/>
      </c>
      <c r="H49" s="10">
        <f>IF(OR(F49="",G49=""),"",F49-G49)</f>
        <v/>
      </c>
      <c r="I49" s="11">
        <f>IF(OR(F49="",G49="",G49=0),"",H49/G49)</f>
        <v/>
      </c>
      <c r="J49" s="10" t="n"/>
      <c r="K49" s="12">
        <f>IF(OR(J49="",J49=0,F49=""),"",F49/J49)</f>
        <v/>
      </c>
      <c r="L49" s="13">
        <f>IF(K49="","",IF(K49&gt;=1,"OK",IF(K49&gt;=0.8,"Вним.","Риск")))</f>
        <v/>
      </c>
    </row>
    <row r="50">
      <c r="A50" s="14" t="inlineStr">
        <is>
          <t>Всего активных</t>
        </is>
      </c>
      <c r="B50" s="9" t="n">
        <v>33</v>
      </c>
      <c r="C50" s="9" t="n"/>
      <c r="D50" s="9" t="n"/>
      <c r="E50" s="9" t="n"/>
      <c r="F50" s="10">
        <f>IF(E50&lt;&gt;"",E50,IF(D50&lt;&gt;"",D50,IF(C50&lt;&gt;"",C50,IF(B50&lt;&gt;"",B50,""))))</f>
        <v/>
      </c>
      <c r="G50" s="10">
        <f>IF(E50&lt;&gt;"",D50,IF(D50&lt;&gt;"",C50,IF(C50&lt;&gt;"",B50,"")))</f>
        <v/>
      </c>
      <c r="H50" s="10">
        <f>IF(OR(F50="",G50=""),"",F50-G50)</f>
        <v/>
      </c>
      <c r="I50" s="11">
        <f>IF(OR(F50="",G50="",G50=0),"",H50/G50)</f>
        <v/>
      </c>
      <c r="J50" s="10" t="n"/>
      <c r="K50" s="12">
        <f>IF(OR(J50="",J50=0,F50=""),"",F50/J50)</f>
        <v/>
      </c>
      <c r="L50" s="13">
        <f>IF(K50="","",IF(K50&gt;=1,"OK",IF(K50&gt;=0.8,"Вним.","Риск")))</f>
        <v/>
      </c>
    </row>
    <row r="51">
      <c r="B51" s="5" t="n"/>
      <c r="C51" s="5" t="n"/>
      <c r="D51" s="5" t="n"/>
      <c r="E51" s="5" t="n"/>
      <c r="F51" s="5" t="n"/>
      <c r="G51" s="5" t="n"/>
      <c r="H51" s="5" t="n"/>
      <c r="I51" s="6" t="n"/>
      <c r="J51" s="5" t="n"/>
      <c r="K51" s="7" t="n"/>
    </row>
    <row r="52">
      <c r="A52" s="4" t="inlineStr">
        <is>
          <t>КОСТЯ</t>
        </is>
      </c>
    </row>
    <row r="53">
      <c r="A53" s="14" t="inlineStr">
        <is>
          <t>Передано менеджерам</t>
        </is>
      </c>
      <c r="B53" s="9" t="n">
        <v>1</v>
      </c>
      <c r="C53" s="9" t="n"/>
      <c r="D53" s="9" t="n"/>
      <c r="E53" s="9" t="n"/>
      <c r="F53" s="10">
        <f>IF(E53&lt;&gt;"",E53,IF(D53&lt;&gt;"",D53,IF(C53&lt;&gt;"",C53,IF(B53&lt;&gt;"",B53,""))))</f>
        <v/>
      </c>
      <c r="G53" s="10">
        <f>IF(E53&lt;&gt;"",D53,IF(D53&lt;&gt;"",C53,IF(C53&lt;&gt;"",B53,"")))</f>
        <v/>
      </c>
      <c r="H53" s="10">
        <f>IF(OR(F53="",G53=""),"",F53-G53)</f>
        <v/>
      </c>
      <c r="I53" s="11">
        <f>IF(OR(F53="",G53="",G53=0),"",H53/G53)</f>
        <v/>
      </c>
      <c r="J53" s="10" t="n">
        <v>5</v>
      </c>
      <c r="K53" s="12">
        <f>IF(OR(J53="",J53=0,F53=""),"",F53/J53)</f>
        <v/>
      </c>
      <c r="L53" s="13">
        <f>IF(K53="","",IF(K53&gt;=1,"OK",IF(K53&gt;=0.8,"Вним.","Риск")))</f>
        <v/>
      </c>
    </row>
    <row r="54">
      <c r="A54" s="14" t="inlineStr">
        <is>
          <t>Квалификация</t>
        </is>
      </c>
      <c r="B54" s="9" t="n">
        <v>2</v>
      </c>
      <c r="C54" s="9" t="n"/>
      <c r="D54" s="9" t="n"/>
      <c r="E54" s="9" t="n"/>
      <c r="F54" s="10">
        <f>IF(E54&lt;&gt;"",E54,IF(D54&lt;&gt;"",D54,IF(C54&lt;&gt;"",C54,IF(B54&lt;&gt;"",B54,""))))</f>
        <v/>
      </c>
      <c r="G54" s="10">
        <f>IF(E54&lt;&gt;"",D54,IF(D54&lt;&gt;"",C54,IF(C54&lt;&gt;"",B54,"")))</f>
        <v/>
      </c>
      <c r="H54" s="10">
        <f>IF(OR(F54="",G54=""),"",F54-G54)</f>
        <v/>
      </c>
      <c r="I54" s="11">
        <f>IF(OR(F54="",G54="",G54=0),"",H54/G54)</f>
        <v/>
      </c>
      <c r="J54" s="10" t="n"/>
      <c r="K54" s="12">
        <f>IF(OR(J54="",J54=0,F54=""),"",F54/J54)</f>
        <v/>
      </c>
      <c r="L54" s="13">
        <f>IF(K54="","",IF(K54&gt;=1,"OK",IF(K54&gt;=0.8,"Вним.","Риск")))</f>
        <v/>
      </c>
    </row>
    <row r="55">
      <c r="A55" s="14" t="inlineStr">
        <is>
          <t>ВКС 1</t>
        </is>
      </c>
      <c r="B55" s="9" t="n">
        <v>2</v>
      </c>
      <c r="C55" s="9" t="n"/>
      <c r="D55" s="9" t="n"/>
      <c r="E55" s="9" t="n"/>
      <c r="F55" s="10">
        <f>IF(E55&lt;&gt;"",E55,IF(D55&lt;&gt;"",D55,IF(C55&lt;&gt;"",C55,IF(B55&lt;&gt;"",B55,""))))</f>
        <v/>
      </c>
      <c r="G55" s="10">
        <f>IF(E55&lt;&gt;"",D55,IF(D55&lt;&gt;"",C55,IF(C55&lt;&gt;"",B55,"")))</f>
        <v/>
      </c>
      <c r="H55" s="10">
        <f>IF(OR(F55="",G55=""),"",F55-G55)</f>
        <v/>
      </c>
      <c r="I55" s="11">
        <f>IF(OR(F55="",G55="",G55=0),"",H55/G55)</f>
        <v/>
      </c>
      <c r="J55" s="10" t="n">
        <v>30</v>
      </c>
      <c r="K55" s="12">
        <f>IF(OR(J55="",J55=0,F55=""),"",F55/J55)</f>
        <v/>
      </c>
      <c r="L55" s="13">
        <f>IF(K55="","",IF(K55&gt;=1,"OK",IF(K55&gt;=0.8,"Вним.","Риск")))</f>
        <v/>
      </c>
    </row>
    <row r="56">
      <c r="A56" s="14" t="inlineStr">
        <is>
          <t>ВКС 2</t>
        </is>
      </c>
      <c r="B56" s="9" t="n">
        <v>11</v>
      </c>
      <c r="C56" s="9" t="n"/>
      <c r="D56" s="9" t="n"/>
      <c r="E56" s="9" t="n"/>
      <c r="F56" s="10">
        <f>IF(E56&lt;&gt;"",E56,IF(D56&lt;&gt;"",D56,IF(C56&lt;&gt;"",C56,IF(B56&lt;&gt;"",B56,""))))</f>
        <v/>
      </c>
      <c r="G56" s="10">
        <f>IF(E56&lt;&gt;"",D56,IF(D56&lt;&gt;"",C56,IF(C56&lt;&gt;"",B56,"")))</f>
        <v/>
      </c>
      <c r="H56" s="10">
        <f>IF(OR(F56="",G56=""),"",F56-G56)</f>
        <v/>
      </c>
      <c r="I56" s="11">
        <f>IF(OR(F56="",G56="",G56=0),"",H56/G56)</f>
        <v/>
      </c>
      <c r="J56" s="10" t="n">
        <v>60</v>
      </c>
      <c r="K56" s="12">
        <f>IF(OR(J56="",J56=0,F56=""),"",F56/J56)</f>
        <v/>
      </c>
      <c r="L56" s="13">
        <f>IF(K56="","",IF(K56&gt;=1,"OK",IF(K56&gt;=0.8,"Вним.","Риск")))</f>
        <v/>
      </c>
    </row>
    <row r="57">
      <c r="A57" s="14" t="inlineStr">
        <is>
          <t>Подготовка к ДТ</t>
        </is>
      </c>
      <c r="B57" s="9" t="n">
        <v>2</v>
      </c>
      <c r="C57" s="9" t="n"/>
      <c r="D57" s="9" t="n"/>
      <c r="E57" s="9" t="n"/>
      <c r="F57" s="10">
        <f>IF(E57&lt;&gt;"",E57,IF(D57&lt;&gt;"",D57,IF(C57&lt;&gt;"",C57,IF(B57&lt;&gt;"",B57,""))))</f>
        <v/>
      </c>
      <c r="G57" s="10">
        <f>IF(E57&lt;&gt;"",D57,IF(D57&lt;&gt;"",C57,IF(C57&lt;&gt;"",B57,"")))</f>
        <v/>
      </c>
      <c r="H57" s="10">
        <f>IF(OR(F57="",G57=""),"",F57-G57)</f>
        <v/>
      </c>
      <c r="I57" s="11">
        <f>IF(OR(F57="",G57="",G57=0),"",H57/G57)</f>
        <v/>
      </c>
      <c r="J57" s="10" t="n">
        <v>25</v>
      </c>
      <c r="K57" s="12">
        <f>IF(OR(J57="",J57=0,F57=""),"",F57/J57)</f>
        <v/>
      </c>
      <c r="L57" s="13">
        <f>IF(K57="","",IF(K57&gt;=1,"OK",IF(K57&gt;=0.8,"Вним.","Риск")))</f>
        <v/>
      </c>
    </row>
    <row r="58">
      <c r="A58" s="14" t="inlineStr">
        <is>
          <t>Демо тест</t>
        </is>
      </c>
      <c r="B58" s="9" t="n">
        <v>0</v>
      </c>
      <c r="C58" s="9" t="n"/>
      <c r="D58" s="9" t="n"/>
      <c r="E58" s="9" t="n"/>
      <c r="F58" s="10">
        <f>IF(E58&lt;&gt;"",E58,IF(D58&lt;&gt;"",D58,IF(C58&lt;&gt;"",C58,IF(B58&lt;&gt;"",B58,""))))</f>
        <v/>
      </c>
      <c r="G58" s="10">
        <f>IF(E58&lt;&gt;"",D58,IF(D58&lt;&gt;"",C58,IF(C58&lt;&gt;"",B58,"")))</f>
        <v/>
      </c>
      <c r="H58" s="10">
        <f>IF(OR(F58="",G58=""),"",F58-G58)</f>
        <v/>
      </c>
      <c r="I58" s="11">
        <f>IF(OR(F58="",G58="",G58=0),"",H58/G58)</f>
        <v/>
      </c>
      <c r="J58" s="10" t="n">
        <v>24</v>
      </c>
      <c r="K58" s="12">
        <f>IF(OR(J58="",J58=0,F58=""),"",F58/J58)</f>
        <v/>
      </c>
      <c r="L58" s="13">
        <f>IF(K58="","",IF(K58&gt;=1,"OK",IF(K58&gt;=0.8,"Вним.","Риск")))</f>
        <v/>
      </c>
    </row>
    <row r="59">
      <c r="A59" s="14" t="inlineStr">
        <is>
          <t>КП/Счет</t>
        </is>
      </c>
      <c r="B59" s="9" t="n">
        <v>0</v>
      </c>
      <c r="C59" s="9" t="n"/>
      <c r="D59" s="9" t="n"/>
      <c r="E59" s="9" t="n"/>
      <c r="F59" s="10">
        <f>IF(E59&lt;&gt;"",E59,IF(D59&lt;&gt;"",D59,IF(C59&lt;&gt;"",C59,IF(B59&lt;&gt;"",B59,""))))</f>
        <v/>
      </c>
      <c r="G59" s="10">
        <f>IF(E59&lt;&gt;"",D59,IF(D59&lt;&gt;"",C59,IF(C59&lt;&gt;"",B59,"")))</f>
        <v/>
      </c>
      <c r="H59" s="10">
        <f>IF(OR(F59="",G59=""),"",F59-G59)</f>
        <v/>
      </c>
      <c r="I59" s="11">
        <f>IF(OR(F59="",G59="",G59=0),"",H59/G59)</f>
        <v/>
      </c>
      <c r="J59" s="10" t="n"/>
      <c r="K59" s="12">
        <f>IF(OR(J59="",J59=0,F59=""),"",F59/J59)</f>
        <v/>
      </c>
      <c r="L59" s="13">
        <f>IF(K59="","",IF(K59&gt;=1,"OK",IF(K59&gt;=0.8,"Вним.","Риск")))</f>
        <v/>
      </c>
    </row>
    <row r="60">
      <c r="A60" s="14" t="inlineStr">
        <is>
          <t>Дожимные звонки &gt;3 мин</t>
        </is>
      </c>
      <c r="B60" s="9" t="n">
        <v>4</v>
      </c>
      <c r="C60" s="9" t="n"/>
      <c r="D60" s="9" t="n"/>
      <c r="E60" s="9" t="n"/>
      <c r="F60" s="10">
        <f>IF(E60&lt;&gt;"",E60,IF(D60&lt;&gt;"",D60,IF(C60&lt;&gt;"",C60,IF(B60&lt;&gt;"",B60,""))))</f>
        <v/>
      </c>
      <c r="G60" s="10">
        <f>IF(E60&lt;&gt;"",D60,IF(D60&lt;&gt;"",C60,IF(C60&lt;&gt;"",B60,"")))</f>
        <v/>
      </c>
      <c r="H60" s="10">
        <f>IF(OR(F60="",G60=""),"",F60-G60)</f>
        <v/>
      </c>
      <c r="I60" s="11">
        <f>IF(OR(F60="",G60="",G60=0),"",H60/G60)</f>
        <v/>
      </c>
      <c r="J60" s="10" t="n"/>
      <c r="K60" s="12">
        <f>IF(OR(J60="",J60=0,F60=""),"",F60/J60)</f>
        <v/>
      </c>
      <c r="L60" s="13">
        <f>IF(K60="","",IF(K60&gt;=1,"OK",IF(K60&gt;=0.8,"Вним.","Риск")))</f>
        <v/>
      </c>
    </row>
    <row r="61">
      <c r="A61" s="14" t="inlineStr">
        <is>
          <t>Новые продажи</t>
        </is>
      </c>
      <c r="B61" s="9" t="n">
        <v>0</v>
      </c>
      <c r="C61" s="9" t="n"/>
      <c r="D61" s="9" t="n"/>
      <c r="E61" s="9" t="n"/>
      <c r="F61" s="10">
        <f>IF(E61&lt;&gt;"",E61,IF(D61&lt;&gt;"",D61,IF(C61&lt;&gt;"",C61,IF(B61&lt;&gt;"",B61,""))))</f>
        <v/>
      </c>
      <c r="G61" s="10">
        <f>IF(E61&lt;&gt;"",D61,IF(D61&lt;&gt;"",C61,IF(C61&lt;&gt;"",B61,"")))</f>
        <v/>
      </c>
      <c r="H61" s="10">
        <f>IF(OR(F61="",G61=""),"",F61-G61)</f>
        <v/>
      </c>
      <c r="I61" s="11">
        <f>IF(OR(F61="",G61="",G61=0),"",H61/G61)</f>
        <v/>
      </c>
      <c r="J61" s="10" t="n">
        <v>4</v>
      </c>
      <c r="K61" s="12">
        <f>IF(OR(J61="",J61=0,F61=""),"",F61/J61)</f>
        <v/>
      </c>
      <c r="L61" s="13">
        <f>IF(K61="","",IF(K61&gt;=1,"OK",IF(K61&gt;=0.8,"Вним.","Риск")))</f>
        <v/>
      </c>
    </row>
    <row r="62">
      <c r="A62" s="14" t="inlineStr">
        <is>
          <t>Sales</t>
        </is>
      </c>
      <c r="B62" s="9" t="n">
        <v>50</v>
      </c>
      <c r="C62" s="9" t="n"/>
      <c r="D62" s="9" t="n"/>
      <c r="E62" s="9" t="n"/>
      <c r="F62" s="10">
        <f>IF(E62&lt;&gt;"",E62,IF(D62&lt;&gt;"",D62,IF(C62&lt;&gt;"",C62,IF(B62&lt;&gt;"",B62,""))))</f>
        <v/>
      </c>
      <c r="G62" s="10">
        <f>IF(E62&lt;&gt;"",D62,IF(D62&lt;&gt;"",C62,IF(C62&lt;&gt;"",B62,"")))</f>
        <v/>
      </c>
      <c r="H62" s="10">
        <f>IF(OR(F62="",G62=""),"",F62-G62)</f>
        <v/>
      </c>
      <c r="I62" s="11">
        <f>IF(OR(F62="",G62="",G62=0),"",H62/G62)</f>
        <v/>
      </c>
      <c r="J62" s="10" t="n">
        <v>40</v>
      </c>
      <c r="K62" s="12">
        <f>IF(OR(J62="",J62=0,F62=""),"",F62/J62)</f>
        <v/>
      </c>
      <c r="L62" s="13">
        <f>IF(K62="","",IF(K62&gt;=1,"OK",IF(K62&gt;=0.8,"Вним.","Риск")))</f>
        <v/>
      </c>
    </row>
    <row r="63">
      <c r="A63" s="14" t="inlineStr">
        <is>
          <t>Фокусная группа</t>
        </is>
      </c>
      <c r="B63" s="9" t="n">
        <v>53</v>
      </c>
      <c r="C63" s="9" t="n"/>
      <c r="D63" s="9" t="n"/>
      <c r="E63" s="9" t="n"/>
      <c r="F63" s="10">
        <f>IF(E63&lt;&gt;"",E63,IF(D63&lt;&gt;"",D63,IF(C63&lt;&gt;"",C63,IF(B63&lt;&gt;"",B63,""))))</f>
        <v/>
      </c>
      <c r="G63" s="10">
        <f>IF(E63&lt;&gt;"",D63,IF(D63&lt;&gt;"",C63,IF(C63&lt;&gt;"",B63,"")))</f>
        <v/>
      </c>
      <c r="H63" s="10">
        <f>IF(OR(F63="",G63=""),"",F63-G63)</f>
        <v/>
      </c>
      <c r="I63" s="11">
        <f>IF(OR(F63="",G63="",G63=0),"",H63/G63)</f>
        <v/>
      </c>
      <c r="J63" s="10" t="n"/>
      <c r="K63" s="12">
        <f>IF(OR(J63="",J63=0,F63=""),"",F63/J63)</f>
        <v/>
      </c>
      <c r="L63" s="13">
        <f>IF(K63="","",IF(K63&gt;=1,"OK",IF(K63&gt;=0.8,"Вним.","Риск")))</f>
        <v/>
      </c>
    </row>
    <row r="64">
      <c r="A64" s="14" t="inlineStr">
        <is>
          <t>Длинные сделки</t>
        </is>
      </c>
      <c r="B64" s="9" t="n">
        <v>152</v>
      </c>
      <c r="C64" s="9" t="n"/>
      <c r="D64" s="9" t="n"/>
      <c r="E64" s="9" t="n"/>
      <c r="F64" s="10">
        <f>IF(E64&lt;&gt;"",E64,IF(D64&lt;&gt;"",D64,IF(C64&lt;&gt;"",C64,IF(B64&lt;&gt;"",B64,""))))</f>
        <v/>
      </c>
      <c r="G64" s="10">
        <f>IF(E64&lt;&gt;"",D64,IF(D64&lt;&gt;"",C64,IF(C64&lt;&gt;"",B64,"")))</f>
        <v/>
      </c>
      <c r="H64" s="10">
        <f>IF(OR(F64="",G64=""),"",F64-G64)</f>
        <v/>
      </c>
      <c r="I64" s="11">
        <f>IF(OR(F64="",G64="",G64=0),"",H64/G64)</f>
        <v/>
      </c>
      <c r="J64" s="10" t="n">
        <v>80</v>
      </c>
      <c r="K64" s="12">
        <f>IF(OR(J64="",J64=0,F64=""),"",F64/J64)</f>
        <v/>
      </c>
      <c r="L64" s="13">
        <f>IF(K64="","",IF(K64&gt;=1,"OK",IF(K64&gt;=0.8,"Вним.","Риск")))</f>
        <v/>
      </c>
    </row>
    <row r="65">
      <c r="A65" s="14" t="inlineStr">
        <is>
          <t>UP-Sales</t>
        </is>
      </c>
      <c r="B65" s="9" t="n">
        <v>33</v>
      </c>
      <c r="C65" s="9" t="n"/>
      <c r="D65" s="9" t="n"/>
      <c r="E65" s="9" t="n"/>
      <c r="F65" s="10">
        <f>IF(E65&lt;&gt;"",E65,IF(D65&lt;&gt;"",D65,IF(C65&lt;&gt;"",C65,IF(B65&lt;&gt;"",B65,""))))</f>
        <v/>
      </c>
      <c r="G65" s="10">
        <f>IF(E65&lt;&gt;"",D65,IF(D65&lt;&gt;"",C65,IF(C65&lt;&gt;"",B65,"")))</f>
        <v/>
      </c>
      <c r="H65" s="10">
        <f>IF(OR(F65="",G65=""),"",F65-G65)</f>
        <v/>
      </c>
      <c r="I65" s="11">
        <f>IF(OR(F65="",G65="",G65=0),"",H65/G65)</f>
        <v/>
      </c>
      <c r="J65" s="10" t="n"/>
      <c r="K65" s="12">
        <f>IF(OR(J65="",J65=0,F65=""),"",F65/J65)</f>
        <v/>
      </c>
      <c r="L65" s="13">
        <f>IF(K65="","",IF(K65&gt;=1,"OK",IF(K65&gt;=0.8,"Вним.","Риск")))</f>
        <v/>
      </c>
    </row>
    <row r="66">
      <c r="A66" s="14" t="inlineStr">
        <is>
          <t>Переход Sale -&gt; ДС</t>
        </is>
      </c>
      <c r="B66" s="9" t="n">
        <v>0</v>
      </c>
      <c r="C66" s="9" t="n"/>
      <c r="D66" s="9" t="n"/>
      <c r="E66" s="9" t="n"/>
      <c r="F66" s="10">
        <f>IF(E66&lt;&gt;"",E66,IF(D66&lt;&gt;"",D66,IF(C66&lt;&gt;"",C66,IF(B66&lt;&gt;"",B66,""))))</f>
        <v/>
      </c>
      <c r="G66" s="10">
        <f>IF(E66&lt;&gt;"",D66,IF(D66&lt;&gt;"",C66,IF(C66&lt;&gt;"",B66,"")))</f>
        <v/>
      </c>
      <c r="H66" s="10">
        <f>IF(OR(F66="",G66=""),"",F66-G66)</f>
        <v/>
      </c>
      <c r="I66" s="11">
        <f>IF(OR(F66="",G66="",G66=0),"",H66/G66)</f>
        <v/>
      </c>
      <c r="J66" s="10" t="n"/>
      <c r="K66" s="12">
        <f>IF(OR(J66="",J66=0,F66=""),"",F66/J66)</f>
        <v/>
      </c>
      <c r="L66" s="13">
        <f>IF(K66="","",IF(K66&gt;=1,"OK",IF(K66&gt;=0.8,"Вним.","Риск")))</f>
        <v/>
      </c>
    </row>
    <row r="67">
      <c r="A67" s="14" t="inlineStr">
        <is>
          <t>Переход ДС -&gt; Фокус/Sale</t>
        </is>
      </c>
      <c r="B67" s="9" t="n">
        <v>0</v>
      </c>
      <c r="C67" s="9" t="n"/>
      <c r="D67" s="9" t="n"/>
      <c r="E67" s="9" t="n"/>
      <c r="F67" s="10">
        <f>IF(E67&lt;&gt;"",E67,IF(D67&lt;&gt;"",D67,IF(C67&lt;&gt;"",C67,IF(B67&lt;&gt;"",B67,""))))</f>
        <v/>
      </c>
      <c r="G67" s="10">
        <f>IF(E67&lt;&gt;"",D67,IF(D67&lt;&gt;"",C67,IF(C67&lt;&gt;"",B67,"")))</f>
        <v/>
      </c>
      <c r="H67" s="10">
        <f>IF(OR(F67="",G67=""),"",F67-G67)</f>
        <v/>
      </c>
      <c r="I67" s="11">
        <f>IF(OR(F67="",G67="",G67=0),"",H67/G67)</f>
        <v/>
      </c>
      <c r="J67" s="10" t="n"/>
      <c r="K67" s="12">
        <f>IF(OR(J67="",J67=0,F67=""),"",F67/J67)</f>
        <v/>
      </c>
      <c r="L67" s="13">
        <f>IF(K67="","",IF(K67&gt;=1,"OK",IF(K67&gt;=0.8,"Вним.","Риск")))</f>
        <v/>
      </c>
    </row>
    <row r="68">
      <c r="A68" s="14" t="inlineStr">
        <is>
          <t>Всего активных</t>
        </is>
      </c>
      <c r="B68" s="9" t="n">
        <v>103</v>
      </c>
      <c r="C68" s="9" t="n"/>
      <c r="D68" s="9" t="n"/>
      <c r="E68" s="9" t="n"/>
      <c r="F68" s="10">
        <f>IF(E68&lt;&gt;"",E68,IF(D68&lt;&gt;"",D68,IF(C68&lt;&gt;"",C68,IF(B68&lt;&gt;"",B68,""))))</f>
        <v/>
      </c>
      <c r="G68" s="10">
        <f>IF(E68&lt;&gt;"",D68,IF(D68&lt;&gt;"",C68,IF(C68&lt;&gt;"",B68,"")))</f>
        <v/>
      </c>
      <c r="H68" s="10">
        <f>IF(OR(F68="",G68=""),"",F68-G68)</f>
        <v/>
      </c>
      <c r="I68" s="11">
        <f>IF(OR(F68="",G68="",G68=0),"",H68/G68)</f>
        <v/>
      </c>
      <c r="J68" s="10" t="n"/>
      <c r="K68" s="12">
        <f>IF(OR(J68="",J68=0,F68=""),"",F68/J68)</f>
        <v/>
      </c>
      <c r="L68" s="13">
        <f>IF(K68="","",IF(K68&gt;=1,"OK",IF(K68&gt;=0.8,"Вним.","Риск")))</f>
        <v/>
      </c>
    </row>
  </sheetData>
  <autoFilter ref="A4:L85"/>
  <mergeCells count="5">
    <mergeCell ref="A24:L24"/>
    <mergeCell ref="A52:L52"/>
    <mergeCell ref="A33:L33"/>
    <mergeCell ref="A5:L5"/>
    <mergeCell ref="A17:L17"/>
  </mergeCells>
  <conditionalFormatting sqref="H5:H68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5:I68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5:K68">
    <cfRule type="cellIs" priority="5" operator="greaterThanOrEqual" dxfId="0">
      <formula>1</formula>
    </cfRule>
    <cfRule type="cellIs" priority="6" operator="between" dxfId="2">
      <formula>0.8</formula>
      <formula>0.999999</formula>
    </cfRule>
    <cfRule type="cellIs" priority="7" operator="lessThan" dxfId="1">
      <formula>0.8</formula>
    </cfRule>
  </conditionalFormatting>
  <conditionalFormatting sqref="L5:L68">
    <cfRule type="expression" priority="8" dxfId="0">
      <formula>L5="OK"</formula>
    </cfRule>
    <cfRule type="expression" priority="9" dxfId="2">
      <formula>L5="Вним."</formula>
    </cfRule>
    <cfRule type="expression" priority="10" dxfId="1">
      <formula>L5="Риск"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Основа: выгрузка Google Sheets, лист "май", gid=1966404021.</t>
        </is>
      </c>
    </row>
    <row r="2">
      <c r="A2" t="inlineStr">
        <is>
          <t>Файл отчета намеренно компактный: без управленческого блока и длинных комментариев.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2026-05-08T09:22:28Z</dcterms:created>
  <dcterms:modified xsi:type="dcterms:W3CDTF">2026-05-08T09:27:39Z</dcterms:modified>
</cp:coreProperties>
</file>