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Шаблон" sheetId="1" state="visible" r:id="rId1"/>
  </sheets>
  <definedNames>
    <definedName name="_xlnm._FilterDatabase" localSheetId="0" hidden="1">'Шаблон'!$A$4:$N$40</definedName>
    <definedName name="_xlnm.Print_Titles" localSheetId="0">'Шаблон'!$1:$4</definedName>
    <definedName name="_xlnm.Print_Area" localSheetId="0">'Шаблон'!$A$1:$N$40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+0%;-0%;0%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color rgb="00666666"/>
      <sz val="9"/>
    </font>
    <font>
      <b val="1"/>
      <color rgb="001F1F1F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/>
    </xf>
    <xf numFmtId="0" fontId="0" fillId="0" borderId="1" applyAlignment="1" pivotButton="0" quotePrefix="0" xfId="0">
      <alignment vertical="center" wrapText="1"/>
    </xf>
    <xf numFmtId="3" fontId="0" fillId="4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SalesWeeklyTemplate" displayName="SalesWeeklyTemplate" ref="A4:N40" headerRowCount="1">
  <autoFilter ref="A4:N40"/>
  <tableColumns count="14">
    <tableColumn id="1" name="Ответственный"/>
    <tableColumn id="2" name="Показатель"/>
    <tableColumn id="3" name="Неделя 1"/>
    <tableColumn id="4" name="Неделя 2"/>
    <tableColumn id="5" name="Неделя 3"/>
    <tableColumn id="6" name="Неделя 4"/>
    <tableColumn id="7" name="Факт за период"/>
    <tableColumn id="8" name="Посл. нед."/>
    <tableColumn id="9" name="Пред. нед."/>
    <tableColumn id="10" name="+/-"/>
    <tableColumn id="11" name="+/- %"/>
    <tableColumn id="12" name="План за период"/>
    <tableColumn id="13" name="% плана"/>
    <tableColumn id="14" name="Статус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8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1" customWidth="1" min="8" max="8"/>
    <col width="11" customWidth="1" min="9" max="9"/>
    <col width="9" customWidth="1" min="10" max="10"/>
    <col width="9" customWidth="1" min="11" max="11"/>
    <col width="13" customWidth="1" min="12" max="12"/>
    <col width="10" customWidth="1" min="13" max="13"/>
    <col width="9" customWidth="1" min="14" max="14"/>
  </cols>
  <sheetData>
    <row r="1" ht="22" customHeight="1">
      <c r="A1" s="1" t="inlineStr">
        <is>
          <t>Шаблон еженедельного отчета продаж</t>
        </is>
      </c>
    </row>
    <row r="2">
      <c r="A2" s="2" t="inlineStr">
        <is>
          <t>Заполняются только желтые ячейки: недели и план. Остальное считается автоматически.</t>
        </is>
      </c>
    </row>
    <row r="4" ht="34" customHeight="1">
      <c r="A4" s="3" t="inlineStr">
        <is>
          <t>Ответственный</t>
        </is>
      </c>
      <c r="B4" s="3" t="inlineStr">
        <is>
          <t>Показатель</t>
        </is>
      </c>
      <c r="C4" s="3" t="inlineStr">
        <is>
          <t>Неделя 1</t>
        </is>
      </c>
      <c r="D4" s="3" t="inlineStr">
        <is>
          <t>Неделя 2</t>
        </is>
      </c>
      <c r="E4" s="3" t="inlineStr">
        <is>
          <t>Неделя 3</t>
        </is>
      </c>
      <c r="F4" s="3" t="inlineStr">
        <is>
          <t>Неделя 4</t>
        </is>
      </c>
      <c r="G4" s="3" t="inlineStr">
        <is>
          <t>Факт за период</t>
        </is>
      </c>
      <c r="H4" s="3" t="inlineStr">
        <is>
          <t>Посл. нед.</t>
        </is>
      </c>
      <c r="I4" s="3" t="inlineStr">
        <is>
          <t>Пред. нед.</t>
        </is>
      </c>
      <c r="J4" s="3" t="inlineStr">
        <is>
          <t>+/-</t>
        </is>
      </c>
      <c r="K4" s="3" t="inlineStr">
        <is>
          <t>+/- %</t>
        </is>
      </c>
      <c r="L4" s="3" t="inlineStr">
        <is>
          <t>План за период</t>
        </is>
      </c>
      <c r="M4" s="3" t="inlineStr">
        <is>
          <t>% плана</t>
        </is>
      </c>
      <c r="N4" s="3" t="inlineStr">
        <is>
          <t>Статус</t>
        </is>
      </c>
    </row>
    <row r="5">
      <c r="A5" s="4" t="inlineStr">
        <is>
          <t>ИТОГО ОТДЕЛ</t>
        </is>
      </c>
    </row>
    <row r="6">
      <c r="A6" s="5" t="inlineStr">
        <is>
          <t>Итого Отдел</t>
        </is>
      </c>
      <c r="B6" s="5" t="inlineStr">
        <is>
          <t>Новые лиды</t>
        </is>
      </c>
      <c r="C6" s="6" t="n"/>
      <c r="D6" s="6" t="n"/>
      <c r="E6" s="6" t="n"/>
      <c r="F6" s="6" t="n"/>
      <c r="G6" s="7">
        <f>IF(COUNTA(C6:F6)=0,"",SUM(C6:F6))</f>
        <v/>
      </c>
      <c r="H6" s="7">
        <f>IF(F6&lt;&gt;"",F6,IF(E6&lt;&gt;"",E6,IF(D6&lt;&gt;"",D6,IF(C6&lt;&gt;"",C6,""))))</f>
        <v/>
      </c>
      <c r="I6" s="7">
        <f>IF(F6&lt;&gt;"",E6,IF(E6&lt;&gt;"",D6,IF(D6&lt;&gt;"",C6,"")))</f>
        <v/>
      </c>
      <c r="J6" s="7">
        <f>IF(OR(H6="",I6=""),"",H6-I6)</f>
        <v/>
      </c>
      <c r="K6" s="8">
        <f>IF(OR(H6="",I6="",I6=0),"",J6/I6)</f>
        <v/>
      </c>
      <c r="L6" s="6" t="n"/>
      <c r="M6" s="9">
        <f>IF(OR(L6="",L6=0,G6=""),"",G6/L6)</f>
        <v/>
      </c>
      <c r="N6" s="10">
        <f>IF(M6="","",IF(M6&gt;=1,"OK",IF(M6&gt;=0.8,"Вним.","Риск")))</f>
        <v/>
      </c>
    </row>
    <row r="7">
      <c r="A7" s="5" t="inlineStr">
        <is>
          <t>Итого Отдел</t>
        </is>
      </c>
      <c r="B7" s="5" t="inlineStr">
        <is>
          <t>Передано менеджерам</t>
        </is>
      </c>
      <c r="C7" s="6" t="n"/>
      <c r="D7" s="6" t="n"/>
      <c r="E7" s="6" t="n"/>
      <c r="F7" s="6" t="n"/>
      <c r="G7" s="7">
        <f>IF(COUNTA(C7:F7)=0,"",SUM(C7:F7))</f>
        <v/>
      </c>
      <c r="H7" s="7">
        <f>IF(F7&lt;&gt;"",F7,IF(E7&lt;&gt;"",E7,IF(D7&lt;&gt;"",D7,IF(C7&lt;&gt;"",C7,""))))</f>
        <v/>
      </c>
      <c r="I7" s="7">
        <f>IF(F7&lt;&gt;"",E7,IF(E7&lt;&gt;"",D7,IF(D7&lt;&gt;"",C7,"")))</f>
        <v/>
      </c>
      <c r="J7" s="7">
        <f>IF(OR(H7="",I7=""),"",H7-I7)</f>
        <v/>
      </c>
      <c r="K7" s="8">
        <f>IF(OR(H7="",I7="",I7=0),"",J7/I7)</f>
        <v/>
      </c>
      <c r="L7" s="6" t="n"/>
      <c r="M7" s="9">
        <f>IF(OR(L7="",L7=0,G7=""),"",G7/L7)</f>
        <v/>
      </c>
      <c r="N7" s="10">
        <f>IF(M7="","",IF(M7&gt;=1,"OK",IF(M7&gt;=0.8,"Вним.","Риск")))</f>
        <v/>
      </c>
    </row>
    <row r="8">
      <c r="A8" s="5" t="inlineStr">
        <is>
          <t>Итого Отдел</t>
        </is>
      </c>
      <c r="B8" s="5" t="inlineStr">
        <is>
          <t>Квалифицировано</t>
        </is>
      </c>
      <c r="C8" s="6" t="n"/>
      <c r="D8" s="6" t="n"/>
      <c r="E8" s="6" t="n"/>
      <c r="F8" s="6" t="n"/>
      <c r="G8" s="7">
        <f>IF(COUNTA(C8:F8)=0,"",SUM(C8:F8))</f>
        <v/>
      </c>
      <c r="H8" s="7">
        <f>IF(F8&lt;&gt;"",F8,IF(E8&lt;&gt;"",E8,IF(D8&lt;&gt;"",D8,IF(C8&lt;&gt;"",C8,""))))</f>
        <v/>
      </c>
      <c r="I8" s="7">
        <f>IF(F8&lt;&gt;"",E8,IF(E8&lt;&gt;"",D8,IF(D8&lt;&gt;"",C8,"")))</f>
        <v/>
      </c>
      <c r="J8" s="7">
        <f>IF(OR(H8="",I8=""),"",H8-I8)</f>
        <v/>
      </c>
      <c r="K8" s="8">
        <f>IF(OR(H8="",I8="",I8=0),"",J8/I8)</f>
        <v/>
      </c>
      <c r="L8" s="6" t="n"/>
      <c r="M8" s="9">
        <f>IF(OR(L8="",L8=0,G8=""),"",G8/L8)</f>
        <v/>
      </c>
      <c r="N8" s="10">
        <f>IF(M8="","",IF(M8&gt;=1,"OK",IF(M8&gt;=0.8,"Вним.","Риск")))</f>
        <v/>
      </c>
    </row>
    <row r="9">
      <c r="A9" s="5" t="inlineStr">
        <is>
          <t>Итого Отдел</t>
        </is>
      </c>
      <c r="B9" s="5" t="inlineStr">
        <is>
          <t>ВКС 1</t>
        </is>
      </c>
      <c r="C9" s="6" t="n"/>
      <c r="D9" s="6" t="n"/>
      <c r="E9" s="6" t="n"/>
      <c r="F9" s="6" t="n"/>
      <c r="G9" s="7">
        <f>IF(COUNTA(C9:F9)=0,"",SUM(C9:F9))</f>
        <v/>
      </c>
      <c r="H9" s="7">
        <f>IF(F9&lt;&gt;"",F9,IF(E9&lt;&gt;"",E9,IF(D9&lt;&gt;"",D9,IF(C9&lt;&gt;"",C9,""))))</f>
        <v/>
      </c>
      <c r="I9" s="7">
        <f>IF(F9&lt;&gt;"",E9,IF(E9&lt;&gt;"",D9,IF(D9&lt;&gt;"",C9,"")))</f>
        <v/>
      </c>
      <c r="J9" s="7">
        <f>IF(OR(H9="",I9=""),"",H9-I9)</f>
        <v/>
      </c>
      <c r="K9" s="8">
        <f>IF(OR(H9="",I9="",I9=0),"",J9/I9)</f>
        <v/>
      </c>
      <c r="L9" s="6" t="n"/>
      <c r="M9" s="9">
        <f>IF(OR(L9="",L9=0,G9=""),"",G9/L9)</f>
        <v/>
      </c>
      <c r="N9" s="10">
        <f>IF(M9="","",IF(M9&gt;=1,"OK",IF(M9&gt;=0.8,"Вним.","Риск")))</f>
        <v/>
      </c>
    </row>
    <row r="10">
      <c r="A10" s="5" t="inlineStr">
        <is>
          <t>Итого Отдел</t>
        </is>
      </c>
      <c r="B10" s="5" t="inlineStr">
        <is>
          <t>ВКС 2</t>
        </is>
      </c>
      <c r="C10" s="6" t="n"/>
      <c r="D10" s="6" t="n"/>
      <c r="E10" s="6" t="n"/>
      <c r="F10" s="6" t="n"/>
      <c r="G10" s="7">
        <f>IF(COUNTA(C10:F10)=0,"",SUM(C10:F10))</f>
        <v/>
      </c>
      <c r="H10" s="7">
        <f>IF(F10&lt;&gt;"",F10,IF(E10&lt;&gt;"",E10,IF(D10&lt;&gt;"",D10,IF(C10&lt;&gt;"",C10,""))))</f>
        <v/>
      </c>
      <c r="I10" s="7">
        <f>IF(F10&lt;&gt;"",E10,IF(E10&lt;&gt;"",D10,IF(D10&lt;&gt;"",C10,"")))</f>
        <v/>
      </c>
      <c r="J10" s="7">
        <f>IF(OR(H10="",I10=""),"",H10-I10)</f>
        <v/>
      </c>
      <c r="K10" s="8">
        <f>IF(OR(H10="",I10="",I10=0),"",J10/I10)</f>
        <v/>
      </c>
      <c r="L10" s="6" t="n"/>
      <c r="M10" s="9">
        <f>IF(OR(L10="",L10=0,G10=""),"",G10/L10)</f>
        <v/>
      </c>
      <c r="N10" s="10">
        <f>IF(M10="","",IF(M10&gt;=1,"OK",IF(M10&gt;=0.8,"Вним.","Риск")))</f>
        <v/>
      </c>
    </row>
    <row r="11">
      <c r="A11" s="5" t="inlineStr">
        <is>
          <t>Итого Отдел</t>
        </is>
      </c>
      <c r="B11" s="5" t="inlineStr">
        <is>
          <t>Подготовка к ДТ</t>
        </is>
      </c>
      <c r="C11" s="6" t="n"/>
      <c r="D11" s="6" t="n"/>
      <c r="E11" s="6" t="n"/>
      <c r="F11" s="6" t="n"/>
      <c r="G11" s="7">
        <f>IF(COUNTA(C11:F11)=0,"",SUM(C11:F11))</f>
        <v/>
      </c>
      <c r="H11" s="7">
        <f>IF(F11&lt;&gt;"",F11,IF(E11&lt;&gt;"",E11,IF(D11&lt;&gt;"",D11,IF(C11&lt;&gt;"",C11,""))))</f>
        <v/>
      </c>
      <c r="I11" s="7">
        <f>IF(F11&lt;&gt;"",E11,IF(E11&lt;&gt;"",D11,IF(D11&lt;&gt;"",C11,"")))</f>
        <v/>
      </c>
      <c r="J11" s="7">
        <f>IF(OR(H11="",I11=""),"",H11-I11)</f>
        <v/>
      </c>
      <c r="K11" s="8">
        <f>IF(OR(H11="",I11="",I11=0),"",J11/I11)</f>
        <v/>
      </c>
      <c r="L11" s="6" t="n"/>
      <c r="M11" s="9">
        <f>IF(OR(L11="",L11=0,G11=""),"",G11/L11)</f>
        <v/>
      </c>
      <c r="N11" s="10">
        <f>IF(M11="","",IF(M11&gt;=1,"OK",IF(M11&gt;=0.8,"Вним.","Риск")))</f>
        <v/>
      </c>
    </row>
    <row r="12">
      <c r="A12" s="5" t="inlineStr">
        <is>
          <t>Итого Отдел</t>
        </is>
      </c>
      <c r="B12" s="5" t="inlineStr">
        <is>
          <t>Демо тест</t>
        </is>
      </c>
      <c r="C12" s="6" t="n"/>
      <c r="D12" s="6" t="n"/>
      <c r="E12" s="6" t="n"/>
      <c r="F12" s="6" t="n"/>
      <c r="G12" s="7">
        <f>IF(COUNTA(C12:F12)=0,"",SUM(C12:F12))</f>
        <v/>
      </c>
      <c r="H12" s="7">
        <f>IF(F12&lt;&gt;"",F12,IF(E12&lt;&gt;"",E12,IF(D12&lt;&gt;"",D12,IF(C12&lt;&gt;"",C12,""))))</f>
        <v/>
      </c>
      <c r="I12" s="7">
        <f>IF(F12&lt;&gt;"",E12,IF(E12&lt;&gt;"",D12,IF(D12&lt;&gt;"",C12,"")))</f>
        <v/>
      </c>
      <c r="J12" s="7">
        <f>IF(OR(H12="",I12=""),"",H12-I12)</f>
        <v/>
      </c>
      <c r="K12" s="8">
        <f>IF(OR(H12="",I12="",I12=0),"",J12/I12)</f>
        <v/>
      </c>
      <c r="L12" s="6" t="n"/>
      <c r="M12" s="9">
        <f>IF(OR(L12="",L12=0,G12=""),"",G12/L12)</f>
        <v/>
      </c>
      <c r="N12" s="10">
        <f>IF(M12="","",IF(M12&gt;=1,"OK",IF(M12&gt;=0.8,"Вним.","Риск")))</f>
        <v/>
      </c>
    </row>
    <row r="13">
      <c r="A13" s="5" t="inlineStr">
        <is>
          <t>Итого Отдел</t>
        </is>
      </c>
      <c r="B13" s="5" t="inlineStr">
        <is>
          <t>КП/Счет</t>
        </is>
      </c>
      <c r="C13" s="6" t="n"/>
      <c r="D13" s="6" t="n"/>
      <c r="E13" s="6" t="n"/>
      <c r="F13" s="6" t="n"/>
      <c r="G13" s="7">
        <f>IF(COUNTA(C13:F13)=0,"",SUM(C13:F13))</f>
        <v/>
      </c>
      <c r="H13" s="7">
        <f>IF(F13&lt;&gt;"",F13,IF(E13&lt;&gt;"",E13,IF(D13&lt;&gt;"",D13,IF(C13&lt;&gt;"",C13,""))))</f>
        <v/>
      </c>
      <c r="I13" s="7">
        <f>IF(F13&lt;&gt;"",E13,IF(E13&lt;&gt;"",D13,IF(D13&lt;&gt;"",C13,"")))</f>
        <v/>
      </c>
      <c r="J13" s="7">
        <f>IF(OR(H13="",I13=""),"",H13-I13)</f>
        <v/>
      </c>
      <c r="K13" s="8">
        <f>IF(OR(H13="",I13="",I13=0),"",J13/I13)</f>
        <v/>
      </c>
      <c r="L13" s="6" t="n"/>
      <c r="M13" s="9">
        <f>IF(OR(L13="",L13=0,G13=""),"",G13/L13)</f>
        <v/>
      </c>
      <c r="N13" s="10">
        <f>IF(M13="","",IF(M13&gt;=1,"OK",IF(M13&gt;=0.8,"Вним.","Риск")))</f>
        <v/>
      </c>
    </row>
    <row r="14">
      <c r="A14" s="5" t="inlineStr">
        <is>
          <t>Итого Отдел</t>
        </is>
      </c>
      <c r="B14" s="5" t="inlineStr">
        <is>
          <t>Дожимные звонки &gt;3 мин</t>
        </is>
      </c>
      <c r="C14" s="6" t="n"/>
      <c r="D14" s="6" t="n"/>
      <c r="E14" s="6" t="n"/>
      <c r="F14" s="6" t="n"/>
      <c r="G14" s="7">
        <f>IF(COUNTA(C14:F14)=0,"",SUM(C14:F14))</f>
        <v/>
      </c>
      <c r="H14" s="7">
        <f>IF(F14&lt;&gt;"",F14,IF(E14&lt;&gt;"",E14,IF(D14&lt;&gt;"",D14,IF(C14&lt;&gt;"",C14,""))))</f>
        <v/>
      </c>
      <c r="I14" s="7">
        <f>IF(F14&lt;&gt;"",E14,IF(E14&lt;&gt;"",D14,IF(D14&lt;&gt;"",C14,"")))</f>
        <v/>
      </c>
      <c r="J14" s="7">
        <f>IF(OR(H14="",I14=""),"",H14-I14)</f>
        <v/>
      </c>
      <c r="K14" s="8">
        <f>IF(OR(H14="",I14="",I14=0),"",J14/I14)</f>
        <v/>
      </c>
      <c r="L14" s="6" t="n"/>
      <c r="M14" s="9">
        <f>IF(OR(L14="",L14=0,G14=""),"",G14/L14)</f>
        <v/>
      </c>
      <c r="N14" s="10">
        <f>IF(M14="","",IF(M14&gt;=1,"OK",IF(M14&gt;=0.8,"Вним.","Риск")))</f>
        <v/>
      </c>
    </row>
    <row r="15">
      <c r="A15" s="5" t="inlineStr">
        <is>
          <t>Итого Отдел</t>
        </is>
      </c>
      <c r="B15" s="5" t="inlineStr">
        <is>
          <t>Новые продажи</t>
        </is>
      </c>
      <c r="C15" s="6" t="n"/>
      <c r="D15" s="6" t="n"/>
      <c r="E15" s="6" t="n"/>
      <c r="F15" s="6" t="n"/>
      <c r="G15" s="7">
        <f>IF(COUNTA(C15:F15)=0,"",SUM(C15:F15))</f>
        <v/>
      </c>
      <c r="H15" s="7">
        <f>IF(F15&lt;&gt;"",F15,IF(E15&lt;&gt;"",E15,IF(D15&lt;&gt;"",D15,IF(C15&lt;&gt;"",C15,""))))</f>
        <v/>
      </c>
      <c r="I15" s="7">
        <f>IF(F15&lt;&gt;"",E15,IF(E15&lt;&gt;"",D15,IF(D15&lt;&gt;"",C15,"")))</f>
        <v/>
      </c>
      <c r="J15" s="7">
        <f>IF(OR(H15="",I15=""),"",H15-I15)</f>
        <v/>
      </c>
      <c r="K15" s="8">
        <f>IF(OR(H15="",I15="",I15=0),"",J15/I15)</f>
        <v/>
      </c>
      <c r="L15" s="6" t="n"/>
      <c r="M15" s="9">
        <f>IF(OR(L15="",L15=0,G15=""),"",G15/L15)</f>
        <v/>
      </c>
      <c r="N15" s="10">
        <f>IF(M15="","",IF(M15&gt;=1,"OK",IF(M15&gt;=0.8,"Вним.","Риск")))</f>
        <v/>
      </c>
    </row>
    <row r="16">
      <c r="A16" s="5" t="inlineStr">
        <is>
          <t>Итого Отдел</t>
        </is>
      </c>
      <c r="B16" s="5" t="inlineStr">
        <is>
          <t>Оплаты, сумма</t>
        </is>
      </c>
      <c r="C16" s="6" t="n"/>
      <c r="D16" s="6" t="n"/>
      <c r="E16" s="6" t="n"/>
      <c r="F16" s="6" t="n"/>
      <c r="G16" s="7">
        <f>IF(COUNTA(C16:F16)=0,"",SUM(C16:F16))</f>
        <v/>
      </c>
      <c r="H16" s="7">
        <f>IF(F16&lt;&gt;"",F16,IF(E16&lt;&gt;"",E16,IF(D16&lt;&gt;"",D16,IF(C16&lt;&gt;"",C16,""))))</f>
        <v/>
      </c>
      <c r="I16" s="7">
        <f>IF(F16&lt;&gt;"",E16,IF(E16&lt;&gt;"",D16,IF(D16&lt;&gt;"",C16,"")))</f>
        <v/>
      </c>
      <c r="J16" s="7">
        <f>IF(OR(H16="",I16=""),"",H16-I16)</f>
        <v/>
      </c>
      <c r="K16" s="8">
        <f>IF(OR(H16="",I16="",I16=0),"",J16/I16)</f>
        <v/>
      </c>
      <c r="L16" s="6" t="n"/>
      <c r="M16" s="9">
        <f>IF(OR(L16="",L16=0,G16=""),"",G16/L16)</f>
        <v/>
      </c>
      <c r="N16" s="10">
        <f>IF(M16="","",IF(M16&gt;=1,"OK",IF(M16&gt;=0.8,"Вним.","Риск")))</f>
        <v/>
      </c>
    </row>
    <row r="18">
      <c r="A18" s="4" t="inlineStr">
        <is>
          <t>МЕНЕДЖЕР А</t>
        </is>
      </c>
    </row>
    <row r="19">
      <c r="A19" s="5" t="inlineStr">
        <is>
          <t>Менеджер А</t>
        </is>
      </c>
      <c r="B19" s="5" t="inlineStr">
        <is>
          <t>Передано менеджерам</t>
        </is>
      </c>
      <c r="C19" s="6" t="n"/>
      <c r="D19" s="6" t="n"/>
      <c r="E19" s="6" t="n"/>
      <c r="F19" s="6" t="n"/>
      <c r="G19" s="7">
        <f>IF(COUNTA(C19:F19)=0,"",SUM(C19:F19))</f>
        <v/>
      </c>
      <c r="H19" s="7">
        <f>IF(F19&lt;&gt;"",F19,IF(E19&lt;&gt;"",E19,IF(D19&lt;&gt;"",D19,IF(C19&lt;&gt;"",C19,""))))</f>
        <v/>
      </c>
      <c r="I19" s="7">
        <f>IF(F19&lt;&gt;"",E19,IF(E19&lt;&gt;"",D19,IF(D19&lt;&gt;"",C19,"")))</f>
        <v/>
      </c>
      <c r="J19" s="7">
        <f>IF(OR(H19="",I19=""),"",H19-I19)</f>
        <v/>
      </c>
      <c r="K19" s="8">
        <f>IF(OR(H19="",I19="",I19=0),"",J19/I19)</f>
        <v/>
      </c>
      <c r="L19" s="6" t="n"/>
      <c r="M19" s="9">
        <f>IF(OR(L19="",L19=0,G19=""),"",G19/L19)</f>
        <v/>
      </c>
      <c r="N19" s="10">
        <f>IF(M19="","",IF(M19&gt;=1,"OK",IF(M19&gt;=0.8,"Вним.","Риск")))</f>
        <v/>
      </c>
    </row>
    <row r="20">
      <c r="A20" s="5" t="inlineStr">
        <is>
          <t>Менеджер А</t>
        </is>
      </c>
      <c r="B20" s="5" t="inlineStr">
        <is>
          <t>Квалифицировано</t>
        </is>
      </c>
      <c r="C20" s="6" t="n"/>
      <c r="D20" s="6" t="n"/>
      <c r="E20" s="6" t="n"/>
      <c r="F20" s="6" t="n"/>
      <c r="G20" s="7">
        <f>IF(COUNTA(C20:F20)=0,"",SUM(C20:F20))</f>
        <v/>
      </c>
      <c r="H20" s="7">
        <f>IF(F20&lt;&gt;"",F20,IF(E20&lt;&gt;"",E20,IF(D20&lt;&gt;"",D20,IF(C20&lt;&gt;"",C20,""))))</f>
        <v/>
      </c>
      <c r="I20" s="7">
        <f>IF(F20&lt;&gt;"",E20,IF(E20&lt;&gt;"",D20,IF(D20&lt;&gt;"",C20,"")))</f>
        <v/>
      </c>
      <c r="J20" s="7">
        <f>IF(OR(H20="",I20=""),"",H20-I20)</f>
        <v/>
      </c>
      <c r="K20" s="8">
        <f>IF(OR(H20="",I20="",I20=0),"",J20/I20)</f>
        <v/>
      </c>
      <c r="L20" s="6" t="n"/>
      <c r="M20" s="9">
        <f>IF(OR(L20="",L20=0,G20=""),"",G20/L20)</f>
        <v/>
      </c>
      <c r="N20" s="10">
        <f>IF(M20="","",IF(M20&gt;=1,"OK",IF(M20&gt;=0.8,"Вним.","Риск")))</f>
        <v/>
      </c>
    </row>
    <row r="21">
      <c r="A21" s="5" t="inlineStr">
        <is>
          <t>Менеджер А</t>
        </is>
      </c>
      <c r="B21" s="5" t="inlineStr">
        <is>
          <t>ВКС 1</t>
        </is>
      </c>
      <c r="C21" s="6" t="n"/>
      <c r="D21" s="6" t="n"/>
      <c r="E21" s="6" t="n"/>
      <c r="F21" s="6" t="n"/>
      <c r="G21" s="7">
        <f>IF(COUNTA(C21:F21)=0,"",SUM(C21:F21))</f>
        <v/>
      </c>
      <c r="H21" s="7">
        <f>IF(F21&lt;&gt;"",F21,IF(E21&lt;&gt;"",E21,IF(D21&lt;&gt;"",D21,IF(C21&lt;&gt;"",C21,""))))</f>
        <v/>
      </c>
      <c r="I21" s="7">
        <f>IF(F21&lt;&gt;"",E21,IF(E21&lt;&gt;"",D21,IF(D21&lt;&gt;"",C21,"")))</f>
        <v/>
      </c>
      <c r="J21" s="7">
        <f>IF(OR(H21="",I21=""),"",H21-I21)</f>
        <v/>
      </c>
      <c r="K21" s="8">
        <f>IF(OR(H21="",I21="",I21=0),"",J21/I21)</f>
        <v/>
      </c>
      <c r="L21" s="6" t="n"/>
      <c r="M21" s="9">
        <f>IF(OR(L21="",L21=0,G21=""),"",G21/L21)</f>
        <v/>
      </c>
      <c r="N21" s="10">
        <f>IF(M21="","",IF(M21&gt;=1,"OK",IF(M21&gt;=0.8,"Вним.","Риск")))</f>
        <v/>
      </c>
    </row>
    <row r="22">
      <c r="A22" s="5" t="inlineStr">
        <is>
          <t>Менеджер А</t>
        </is>
      </c>
      <c r="B22" s="5" t="inlineStr">
        <is>
          <t>ВКС 2</t>
        </is>
      </c>
      <c r="C22" s="6" t="n"/>
      <c r="D22" s="6" t="n"/>
      <c r="E22" s="6" t="n"/>
      <c r="F22" s="6" t="n"/>
      <c r="G22" s="7">
        <f>IF(COUNTA(C22:F22)=0,"",SUM(C22:F22))</f>
        <v/>
      </c>
      <c r="H22" s="7">
        <f>IF(F22&lt;&gt;"",F22,IF(E22&lt;&gt;"",E22,IF(D22&lt;&gt;"",D22,IF(C22&lt;&gt;"",C22,""))))</f>
        <v/>
      </c>
      <c r="I22" s="7">
        <f>IF(F22&lt;&gt;"",E22,IF(E22&lt;&gt;"",D22,IF(D22&lt;&gt;"",C22,"")))</f>
        <v/>
      </c>
      <c r="J22" s="7">
        <f>IF(OR(H22="",I22=""),"",H22-I22)</f>
        <v/>
      </c>
      <c r="K22" s="8">
        <f>IF(OR(H22="",I22="",I22=0),"",J22/I22)</f>
        <v/>
      </c>
      <c r="L22" s="6" t="n"/>
      <c r="M22" s="9">
        <f>IF(OR(L22="",L22=0,G22=""),"",G22/L22)</f>
        <v/>
      </c>
      <c r="N22" s="10">
        <f>IF(M22="","",IF(M22&gt;=1,"OK",IF(M22&gt;=0.8,"Вним.","Риск")))</f>
        <v/>
      </c>
    </row>
    <row r="23">
      <c r="A23" s="5" t="inlineStr">
        <is>
          <t>Менеджер А</t>
        </is>
      </c>
      <c r="B23" s="5" t="inlineStr">
        <is>
          <t>Подготовка к ДТ</t>
        </is>
      </c>
      <c r="C23" s="6" t="n"/>
      <c r="D23" s="6" t="n"/>
      <c r="E23" s="6" t="n"/>
      <c r="F23" s="6" t="n"/>
      <c r="G23" s="7">
        <f>IF(COUNTA(C23:F23)=0,"",SUM(C23:F23))</f>
        <v/>
      </c>
      <c r="H23" s="7">
        <f>IF(F23&lt;&gt;"",F23,IF(E23&lt;&gt;"",E23,IF(D23&lt;&gt;"",D23,IF(C23&lt;&gt;"",C23,""))))</f>
        <v/>
      </c>
      <c r="I23" s="7">
        <f>IF(F23&lt;&gt;"",E23,IF(E23&lt;&gt;"",D23,IF(D23&lt;&gt;"",C23,"")))</f>
        <v/>
      </c>
      <c r="J23" s="7">
        <f>IF(OR(H23="",I23=""),"",H23-I23)</f>
        <v/>
      </c>
      <c r="K23" s="8">
        <f>IF(OR(H23="",I23="",I23=0),"",J23/I23)</f>
        <v/>
      </c>
      <c r="L23" s="6" t="n"/>
      <c r="M23" s="9">
        <f>IF(OR(L23="",L23=0,G23=""),"",G23/L23)</f>
        <v/>
      </c>
      <c r="N23" s="10">
        <f>IF(M23="","",IF(M23&gt;=1,"OK",IF(M23&gt;=0.8,"Вним.","Риск")))</f>
        <v/>
      </c>
    </row>
    <row r="24">
      <c r="A24" s="5" t="inlineStr">
        <is>
          <t>Менеджер А</t>
        </is>
      </c>
      <c r="B24" s="5" t="inlineStr">
        <is>
          <t>Демо тест</t>
        </is>
      </c>
      <c r="C24" s="6" t="n"/>
      <c r="D24" s="6" t="n"/>
      <c r="E24" s="6" t="n"/>
      <c r="F24" s="6" t="n"/>
      <c r="G24" s="7">
        <f>IF(COUNTA(C24:F24)=0,"",SUM(C24:F24))</f>
        <v/>
      </c>
      <c r="H24" s="7">
        <f>IF(F24&lt;&gt;"",F24,IF(E24&lt;&gt;"",E24,IF(D24&lt;&gt;"",D24,IF(C24&lt;&gt;"",C24,""))))</f>
        <v/>
      </c>
      <c r="I24" s="7">
        <f>IF(F24&lt;&gt;"",E24,IF(E24&lt;&gt;"",D24,IF(D24&lt;&gt;"",C24,"")))</f>
        <v/>
      </c>
      <c r="J24" s="7">
        <f>IF(OR(H24="",I24=""),"",H24-I24)</f>
        <v/>
      </c>
      <c r="K24" s="8">
        <f>IF(OR(H24="",I24="",I24=0),"",J24/I24)</f>
        <v/>
      </c>
      <c r="L24" s="6" t="n"/>
      <c r="M24" s="9">
        <f>IF(OR(L24="",L24=0,G24=""),"",G24/L24)</f>
        <v/>
      </c>
      <c r="N24" s="10">
        <f>IF(M24="","",IF(M24&gt;=1,"OK",IF(M24&gt;=0.8,"Вним.","Риск")))</f>
        <v/>
      </c>
    </row>
    <row r="25">
      <c r="A25" s="5" t="inlineStr">
        <is>
          <t>Менеджер А</t>
        </is>
      </c>
      <c r="B25" s="5" t="inlineStr">
        <is>
          <t>КП/Счет</t>
        </is>
      </c>
      <c r="C25" s="6" t="n"/>
      <c r="D25" s="6" t="n"/>
      <c r="E25" s="6" t="n"/>
      <c r="F25" s="6" t="n"/>
      <c r="G25" s="7">
        <f>IF(COUNTA(C25:F25)=0,"",SUM(C25:F25))</f>
        <v/>
      </c>
      <c r="H25" s="7">
        <f>IF(F25&lt;&gt;"",F25,IF(E25&lt;&gt;"",E25,IF(D25&lt;&gt;"",D25,IF(C25&lt;&gt;"",C25,""))))</f>
        <v/>
      </c>
      <c r="I25" s="7">
        <f>IF(F25&lt;&gt;"",E25,IF(E25&lt;&gt;"",D25,IF(D25&lt;&gt;"",C25,"")))</f>
        <v/>
      </c>
      <c r="J25" s="7">
        <f>IF(OR(H25="",I25=""),"",H25-I25)</f>
        <v/>
      </c>
      <c r="K25" s="8">
        <f>IF(OR(H25="",I25="",I25=0),"",J25/I25)</f>
        <v/>
      </c>
      <c r="L25" s="6" t="n"/>
      <c r="M25" s="9">
        <f>IF(OR(L25="",L25=0,G25=""),"",G25/L25)</f>
        <v/>
      </c>
      <c r="N25" s="10">
        <f>IF(M25="","",IF(M25&gt;=1,"OK",IF(M25&gt;=0.8,"Вним.","Риск")))</f>
        <v/>
      </c>
    </row>
    <row r="26">
      <c r="A26" s="5" t="inlineStr">
        <is>
          <t>Менеджер А</t>
        </is>
      </c>
      <c r="B26" s="5" t="inlineStr">
        <is>
          <t>Дожимные звонки &gt;3 мин</t>
        </is>
      </c>
      <c r="C26" s="6" t="n"/>
      <c r="D26" s="6" t="n"/>
      <c r="E26" s="6" t="n"/>
      <c r="F26" s="6" t="n"/>
      <c r="G26" s="7">
        <f>IF(COUNTA(C26:F26)=0,"",SUM(C26:F26))</f>
        <v/>
      </c>
      <c r="H26" s="7">
        <f>IF(F26&lt;&gt;"",F26,IF(E26&lt;&gt;"",E26,IF(D26&lt;&gt;"",D26,IF(C26&lt;&gt;"",C26,""))))</f>
        <v/>
      </c>
      <c r="I26" s="7">
        <f>IF(F26&lt;&gt;"",E26,IF(E26&lt;&gt;"",D26,IF(D26&lt;&gt;"",C26,"")))</f>
        <v/>
      </c>
      <c r="J26" s="7">
        <f>IF(OR(H26="",I26=""),"",H26-I26)</f>
        <v/>
      </c>
      <c r="K26" s="8">
        <f>IF(OR(H26="",I26="",I26=0),"",J26/I26)</f>
        <v/>
      </c>
      <c r="L26" s="6" t="n"/>
      <c r="M26" s="9">
        <f>IF(OR(L26="",L26=0,G26=""),"",G26/L26)</f>
        <v/>
      </c>
      <c r="N26" s="10">
        <f>IF(M26="","",IF(M26&gt;=1,"OK",IF(M26&gt;=0.8,"Вним.","Риск")))</f>
        <v/>
      </c>
    </row>
    <row r="27">
      <c r="A27" s="5" t="inlineStr">
        <is>
          <t>Менеджер А</t>
        </is>
      </c>
      <c r="B27" s="5" t="inlineStr">
        <is>
          <t>Новые продажи</t>
        </is>
      </c>
      <c r="C27" s="6" t="n"/>
      <c r="D27" s="6" t="n"/>
      <c r="E27" s="6" t="n"/>
      <c r="F27" s="6" t="n"/>
      <c r="G27" s="7">
        <f>IF(COUNTA(C27:F27)=0,"",SUM(C27:F27))</f>
        <v/>
      </c>
      <c r="H27" s="7">
        <f>IF(F27&lt;&gt;"",F27,IF(E27&lt;&gt;"",E27,IF(D27&lt;&gt;"",D27,IF(C27&lt;&gt;"",C27,""))))</f>
        <v/>
      </c>
      <c r="I27" s="7">
        <f>IF(F27&lt;&gt;"",E27,IF(E27&lt;&gt;"",D27,IF(D27&lt;&gt;"",C27,"")))</f>
        <v/>
      </c>
      <c r="J27" s="7">
        <f>IF(OR(H27="",I27=""),"",H27-I27)</f>
        <v/>
      </c>
      <c r="K27" s="8">
        <f>IF(OR(H27="",I27="",I27=0),"",J27/I27)</f>
        <v/>
      </c>
      <c r="L27" s="6" t="n"/>
      <c r="M27" s="9">
        <f>IF(OR(L27="",L27=0,G27=""),"",G27/L27)</f>
        <v/>
      </c>
      <c r="N27" s="10">
        <f>IF(M27="","",IF(M27&gt;=1,"OK",IF(M27&gt;=0.8,"Вним.","Риск")))</f>
        <v/>
      </c>
    </row>
    <row r="28">
      <c r="A28" s="5" t="inlineStr">
        <is>
          <t>Менеджер А</t>
        </is>
      </c>
      <c r="B28" s="5" t="inlineStr">
        <is>
          <t>Оплаты, сумма</t>
        </is>
      </c>
      <c r="C28" s="6" t="n"/>
      <c r="D28" s="6" t="n"/>
      <c r="E28" s="6" t="n"/>
      <c r="F28" s="6" t="n"/>
      <c r="G28" s="7">
        <f>IF(COUNTA(C28:F28)=0,"",SUM(C28:F28))</f>
        <v/>
      </c>
      <c r="H28" s="7">
        <f>IF(F28&lt;&gt;"",F28,IF(E28&lt;&gt;"",E28,IF(D28&lt;&gt;"",D28,IF(C28&lt;&gt;"",C28,""))))</f>
        <v/>
      </c>
      <c r="I28" s="7">
        <f>IF(F28&lt;&gt;"",E28,IF(E28&lt;&gt;"",D28,IF(D28&lt;&gt;"",C28,"")))</f>
        <v/>
      </c>
      <c r="J28" s="7">
        <f>IF(OR(H28="",I28=""),"",H28-I28)</f>
        <v/>
      </c>
      <c r="K28" s="8">
        <f>IF(OR(H28="",I28="",I28=0),"",J28/I28)</f>
        <v/>
      </c>
      <c r="L28" s="6" t="n"/>
      <c r="M28" s="9">
        <f>IF(OR(L28="",L28=0,G28=""),"",G28/L28)</f>
        <v/>
      </c>
      <c r="N28" s="10">
        <f>IF(M28="","",IF(M28&gt;=1,"OK",IF(M28&gt;=0.8,"Вним.","Риск")))</f>
        <v/>
      </c>
    </row>
    <row r="30">
      <c r="A30" s="4" t="inlineStr">
        <is>
          <t>МЕНЕДЖЕР Б</t>
        </is>
      </c>
    </row>
    <row r="31">
      <c r="A31" s="5" t="inlineStr">
        <is>
          <t>Менеджер Б</t>
        </is>
      </c>
      <c r="B31" s="5" t="inlineStr">
        <is>
          <t>Передано менеджерам</t>
        </is>
      </c>
      <c r="C31" s="6" t="n"/>
      <c r="D31" s="6" t="n"/>
      <c r="E31" s="6" t="n"/>
      <c r="F31" s="6" t="n"/>
      <c r="G31" s="7">
        <f>IF(COUNTA(C31:F31)=0,"",SUM(C31:F31))</f>
        <v/>
      </c>
      <c r="H31" s="7">
        <f>IF(F31&lt;&gt;"",F31,IF(E31&lt;&gt;"",E31,IF(D31&lt;&gt;"",D31,IF(C31&lt;&gt;"",C31,""))))</f>
        <v/>
      </c>
      <c r="I31" s="7">
        <f>IF(F31&lt;&gt;"",E31,IF(E31&lt;&gt;"",D31,IF(D31&lt;&gt;"",C31,"")))</f>
        <v/>
      </c>
      <c r="J31" s="7">
        <f>IF(OR(H31="",I31=""),"",H31-I31)</f>
        <v/>
      </c>
      <c r="K31" s="8">
        <f>IF(OR(H31="",I31="",I31=0),"",J31/I31)</f>
        <v/>
      </c>
      <c r="L31" s="6" t="n"/>
      <c r="M31" s="9">
        <f>IF(OR(L31="",L31=0,G31=""),"",G31/L31)</f>
        <v/>
      </c>
      <c r="N31" s="10">
        <f>IF(M31="","",IF(M31&gt;=1,"OK",IF(M31&gt;=0.8,"Вним.","Риск")))</f>
        <v/>
      </c>
    </row>
    <row r="32">
      <c r="A32" s="5" t="inlineStr">
        <is>
          <t>Менеджер Б</t>
        </is>
      </c>
      <c r="B32" s="5" t="inlineStr">
        <is>
          <t>Квалифицировано</t>
        </is>
      </c>
      <c r="C32" s="6" t="n"/>
      <c r="D32" s="6" t="n"/>
      <c r="E32" s="6" t="n"/>
      <c r="F32" s="6" t="n"/>
      <c r="G32" s="7">
        <f>IF(COUNTA(C32:F32)=0,"",SUM(C32:F32))</f>
        <v/>
      </c>
      <c r="H32" s="7">
        <f>IF(F32&lt;&gt;"",F32,IF(E32&lt;&gt;"",E32,IF(D32&lt;&gt;"",D32,IF(C32&lt;&gt;"",C32,""))))</f>
        <v/>
      </c>
      <c r="I32" s="7">
        <f>IF(F32&lt;&gt;"",E32,IF(E32&lt;&gt;"",D32,IF(D32&lt;&gt;"",C32,"")))</f>
        <v/>
      </c>
      <c r="J32" s="7">
        <f>IF(OR(H32="",I32=""),"",H32-I32)</f>
        <v/>
      </c>
      <c r="K32" s="8">
        <f>IF(OR(H32="",I32="",I32=0),"",J32/I32)</f>
        <v/>
      </c>
      <c r="L32" s="6" t="n"/>
      <c r="M32" s="9">
        <f>IF(OR(L32="",L32=0,G32=""),"",G32/L32)</f>
        <v/>
      </c>
      <c r="N32" s="10">
        <f>IF(M32="","",IF(M32&gt;=1,"OK",IF(M32&gt;=0.8,"Вним.","Риск")))</f>
        <v/>
      </c>
    </row>
    <row r="33">
      <c r="A33" s="5" t="inlineStr">
        <is>
          <t>Менеджер Б</t>
        </is>
      </c>
      <c r="B33" s="5" t="inlineStr">
        <is>
          <t>ВКС 1</t>
        </is>
      </c>
      <c r="C33" s="6" t="n"/>
      <c r="D33" s="6" t="n"/>
      <c r="E33" s="6" t="n"/>
      <c r="F33" s="6" t="n"/>
      <c r="G33" s="7">
        <f>IF(COUNTA(C33:F33)=0,"",SUM(C33:F33))</f>
        <v/>
      </c>
      <c r="H33" s="7">
        <f>IF(F33&lt;&gt;"",F33,IF(E33&lt;&gt;"",E33,IF(D33&lt;&gt;"",D33,IF(C33&lt;&gt;"",C33,""))))</f>
        <v/>
      </c>
      <c r="I33" s="7">
        <f>IF(F33&lt;&gt;"",E33,IF(E33&lt;&gt;"",D33,IF(D33&lt;&gt;"",C33,"")))</f>
        <v/>
      </c>
      <c r="J33" s="7">
        <f>IF(OR(H33="",I33=""),"",H33-I33)</f>
        <v/>
      </c>
      <c r="K33" s="8">
        <f>IF(OR(H33="",I33="",I33=0),"",J33/I33)</f>
        <v/>
      </c>
      <c r="L33" s="6" t="n"/>
      <c r="M33" s="9">
        <f>IF(OR(L33="",L33=0,G33=""),"",G33/L33)</f>
        <v/>
      </c>
      <c r="N33" s="10">
        <f>IF(M33="","",IF(M33&gt;=1,"OK",IF(M33&gt;=0.8,"Вним.","Риск")))</f>
        <v/>
      </c>
    </row>
    <row r="34">
      <c r="A34" s="5" t="inlineStr">
        <is>
          <t>Менеджер Б</t>
        </is>
      </c>
      <c r="B34" s="5" t="inlineStr">
        <is>
          <t>ВКС 2</t>
        </is>
      </c>
      <c r="C34" s="6" t="n"/>
      <c r="D34" s="6" t="n"/>
      <c r="E34" s="6" t="n"/>
      <c r="F34" s="6" t="n"/>
      <c r="G34" s="7">
        <f>IF(COUNTA(C34:F34)=0,"",SUM(C34:F34))</f>
        <v/>
      </c>
      <c r="H34" s="7">
        <f>IF(F34&lt;&gt;"",F34,IF(E34&lt;&gt;"",E34,IF(D34&lt;&gt;"",D34,IF(C34&lt;&gt;"",C34,""))))</f>
        <v/>
      </c>
      <c r="I34" s="7">
        <f>IF(F34&lt;&gt;"",E34,IF(E34&lt;&gt;"",D34,IF(D34&lt;&gt;"",C34,"")))</f>
        <v/>
      </c>
      <c r="J34" s="7">
        <f>IF(OR(H34="",I34=""),"",H34-I34)</f>
        <v/>
      </c>
      <c r="K34" s="8">
        <f>IF(OR(H34="",I34="",I34=0),"",J34/I34)</f>
        <v/>
      </c>
      <c r="L34" s="6" t="n"/>
      <c r="M34" s="9">
        <f>IF(OR(L34="",L34=0,G34=""),"",G34/L34)</f>
        <v/>
      </c>
      <c r="N34" s="10">
        <f>IF(M34="","",IF(M34&gt;=1,"OK",IF(M34&gt;=0.8,"Вним.","Риск")))</f>
        <v/>
      </c>
    </row>
    <row r="35">
      <c r="A35" s="5" t="inlineStr">
        <is>
          <t>Менеджер Б</t>
        </is>
      </c>
      <c r="B35" s="5" t="inlineStr">
        <is>
          <t>Подготовка к ДТ</t>
        </is>
      </c>
      <c r="C35" s="6" t="n"/>
      <c r="D35" s="6" t="n"/>
      <c r="E35" s="6" t="n"/>
      <c r="F35" s="6" t="n"/>
      <c r="G35" s="7">
        <f>IF(COUNTA(C35:F35)=0,"",SUM(C35:F35))</f>
        <v/>
      </c>
      <c r="H35" s="7">
        <f>IF(F35&lt;&gt;"",F35,IF(E35&lt;&gt;"",E35,IF(D35&lt;&gt;"",D35,IF(C35&lt;&gt;"",C35,""))))</f>
        <v/>
      </c>
      <c r="I35" s="7">
        <f>IF(F35&lt;&gt;"",E35,IF(E35&lt;&gt;"",D35,IF(D35&lt;&gt;"",C35,"")))</f>
        <v/>
      </c>
      <c r="J35" s="7">
        <f>IF(OR(H35="",I35=""),"",H35-I35)</f>
        <v/>
      </c>
      <c r="K35" s="8">
        <f>IF(OR(H35="",I35="",I35=0),"",J35/I35)</f>
        <v/>
      </c>
      <c r="L35" s="6" t="n"/>
      <c r="M35" s="9">
        <f>IF(OR(L35="",L35=0,G35=""),"",G35/L35)</f>
        <v/>
      </c>
      <c r="N35" s="10">
        <f>IF(M35="","",IF(M35&gt;=1,"OK",IF(M35&gt;=0.8,"Вним.","Риск")))</f>
        <v/>
      </c>
    </row>
    <row r="36">
      <c r="A36" s="5" t="inlineStr">
        <is>
          <t>Менеджер Б</t>
        </is>
      </c>
      <c r="B36" s="5" t="inlineStr">
        <is>
          <t>Демо тест</t>
        </is>
      </c>
      <c r="C36" s="6" t="n"/>
      <c r="D36" s="6" t="n"/>
      <c r="E36" s="6" t="n"/>
      <c r="F36" s="6" t="n"/>
      <c r="G36" s="7">
        <f>IF(COUNTA(C36:F36)=0,"",SUM(C36:F36))</f>
        <v/>
      </c>
      <c r="H36" s="7">
        <f>IF(F36&lt;&gt;"",F36,IF(E36&lt;&gt;"",E36,IF(D36&lt;&gt;"",D36,IF(C36&lt;&gt;"",C36,""))))</f>
        <v/>
      </c>
      <c r="I36" s="7">
        <f>IF(F36&lt;&gt;"",E36,IF(E36&lt;&gt;"",D36,IF(D36&lt;&gt;"",C36,"")))</f>
        <v/>
      </c>
      <c r="J36" s="7">
        <f>IF(OR(H36="",I36=""),"",H36-I36)</f>
        <v/>
      </c>
      <c r="K36" s="8">
        <f>IF(OR(H36="",I36="",I36=0),"",J36/I36)</f>
        <v/>
      </c>
      <c r="L36" s="6" t="n"/>
      <c r="M36" s="9">
        <f>IF(OR(L36="",L36=0,G36=""),"",G36/L36)</f>
        <v/>
      </c>
      <c r="N36" s="10">
        <f>IF(M36="","",IF(M36&gt;=1,"OK",IF(M36&gt;=0.8,"Вним.","Риск")))</f>
        <v/>
      </c>
    </row>
    <row r="37">
      <c r="A37" s="5" t="inlineStr">
        <is>
          <t>Менеджер Б</t>
        </is>
      </c>
      <c r="B37" s="5" t="inlineStr">
        <is>
          <t>КП/Счет</t>
        </is>
      </c>
      <c r="C37" s="6" t="n"/>
      <c r="D37" s="6" t="n"/>
      <c r="E37" s="6" t="n"/>
      <c r="F37" s="6" t="n"/>
      <c r="G37" s="7">
        <f>IF(COUNTA(C37:F37)=0,"",SUM(C37:F37))</f>
        <v/>
      </c>
      <c r="H37" s="7">
        <f>IF(F37&lt;&gt;"",F37,IF(E37&lt;&gt;"",E37,IF(D37&lt;&gt;"",D37,IF(C37&lt;&gt;"",C37,""))))</f>
        <v/>
      </c>
      <c r="I37" s="7">
        <f>IF(F37&lt;&gt;"",E37,IF(E37&lt;&gt;"",D37,IF(D37&lt;&gt;"",C37,"")))</f>
        <v/>
      </c>
      <c r="J37" s="7">
        <f>IF(OR(H37="",I37=""),"",H37-I37)</f>
        <v/>
      </c>
      <c r="K37" s="8">
        <f>IF(OR(H37="",I37="",I37=0),"",J37/I37)</f>
        <v/>
      </c>
      <c r="L37" s="6" t="n"/>
      <c r="M37" s="9">
        <f>IF(OR(L37="",L37=0,G37=""),"",G37/L37)</f>
        <v/>
      </c>
      <c r="N37" s="10">
        <f>IF(M37="","",IF(M37&gt;=1,"OK",IF(M37&gt;=0.8,"Вним.","Риск")))</f>
        <v/>
      </c>
    </row>
    <row r="38">
      <c r="A38" s="5" t="inlineStr">
        <is>
          <t>Менеджер Б</t>
        </is>
      </c>
      <c r="B38" s="5" t="inlineStr">
        <is>
          <t>Дожимные звонки &gt;3 мин</t>
        </is>
      </c>
      <c r="C38" s="6" t="n"/>
      <c r="D38" s="6" t="n"/>
      <c r="E38" s="6" t="n"/>
      <c r="F38" s="6" t="n"/>
      <c r="G38" s="7">
        <f>IF(COUNTA(C38:F38)=0,"",SUM(C38:F38))</f>
        <v/>
      </c>
      <c r="H38" s="7">
        <f>IF(F38&lt;&gt;"",F38,IF(E38&lt;&gt;"",E38,IF(D38&lt;&gt;"",D38,IF(C38&lt;&gt;"",C38,""))))</f>
        <v/>
      </c>
      <c r="I38" s="7">
        <f>IF(F38&lt;&gt;"",E38,IF(E38&lt;&gt;"",D38,IF(D38&lt;&gt;"",C38,"")))</f>
        <v/>
      </c>
      <c r="J38" s="7">
        <f>IF(OR(H38="",I38=""),"",H38-I38)</f>
        <v/>
      </c>
      <c r="K38" s="8">
        <f>IF(OR(H38="",I38="",I38=0),"",J38/I38)</f>
        <v/>
      </c>
      <c r="L38" s="6" t="n"/>
      <c r="M38" s="9">
        <f>IF(OR(L38="",L38=0,G38=""),"",G38/L38)</f>
        <v/>
      </c>
      <c r="N38" s="10">
        <f>IF(M38="","",IF(M38&gt;=1,"OK",IF(M38&gt;=0.8,"Вним.","Риск")))</f>
        <v/>
      </c>
    </row>
    <row r="39">
      <c r="A39" s="5" t="inlineStr">
        <is>
          <t>Менеджер Б</t>
        </is>
      </c>
      <c r="B39" s="5" t="inlineStr">
        <is>
          <t>Новые продажи</t>
        </is>
      </c>
      <c r="C39" s="6" t="n"/>
      <c r="D39" s="6" t="n"/>
      <c r="E39" s="6" t="n"/>
      <c r="F39" s="6" t="n"/>
      <c r="G39" s="7">
        <f>IF(COUNTA(C39:F39)=0,"",SUM(C39:F39))</f>
        <v/>
      </c>
      <c r="H39" s="7">
        <f>IF(F39&lt;&gt;"",F39,IF(E39&lt;&gt;"",E39,IF(D39&lt;&gt;"",D39,IF(C39&lt;&gt;"",C39,""))))</f>
        <v/>
      </c>
      <c r="I39" s="7">
        <f>IF(F39&lt;&gt;"",E39,IF(E39&lt;&gt;"",D39,IF(D39&lt;&gt;"",C39,"")))</f>
        <v/>
      </c>
      <c r="J39" s="7">
        <f>IF(OR(H39="",I39=""),"",H39-I39)</f>
        <v/>
      </c>
      <c r="K39" s="8">
        <f>IF(OR(H39="",I39="",I39=0),"",J39/I39)</f>
        <v/>
      </c>
      <c r="L39" s="6" t="n"/>
      <c r="M39" s="9">
        <f>IF(OR(L39="",L39=0,G39=""),"",G39/L39)</f>
        <v/>
      </c>
      <c r="N39" s="10">
        <f>IF(M39="","",IF(M39&gt;=1,"OK",IF(M39&gt;=0.8,"Вним.","Риск")))</f>
        <v/>
      </c>
    </row>
    <row r="40">
      <c r="A40" s="5" t="inlineStr">
        <is>
          <t>Менеджер Б</t>
        </is>
      </c>
      <c r="B40" s="5" t="inlineStr">
        <is>
          <t>Оплаты, сумма</t>
        </is>
      </c>
      <c r="C40" s="6" t="n"/>
      <c r="D40" s="6" t="n"/>
      <c r="E40" s="6" t="n"/>
      <c r="F40" s="6" t="n"/>
      <c r="G40" s="7">
        <f>IF(COUNTA(C40:F40)=0,"",SUM(C40:F40))</f>
        <v/>
      </c>
      <c r="H40" s="7">
        <f>IF(F40&lt;&gt;"",F40,IF(E40&lt;&gt;"",E40,IF(D40&lt;&gt;"",D40,IF(C40&lt;&gt;"",C40,""))))</f>
        <v/>
      </c>
      <c r="I40" s="7">
        <f>IF(F40&lt;&gt;"",E40,IF(E40&lt;&gt;"",D40,IF(D40&lt;&gt;"",C40,"")))</f>
        <v/>
      </c>
      <c r="J40" s="7">
        <f>IF(OR(H40="",I40=""),"",H40-I40)</f>
        <v/>
      </c>
      <c r="K40" s="8">
        <f>IF(OR(H40="",I40="",I40=0),"",J40/I40)</f>
        <v/>
      </c>
      <c r="L40" s="6" t="n"/>
      <c r="M40" s="9">
        <f>IF(OR(L40="",L40=0,G40=""),"",G40/L40)</f>
        <v/>
      </c>
      <c r="N40" s="10">
        <f>IF(M40="","",IF(M40&gt;=1,"OK",IF(M40&gt;=0.8,"Вним.","Риск")))</f>
        <v/>
      </c>
    </row>
  </sheetData>
  <autoFilter ref="A4:N40"/>
  <mergeCells count="3">
    <mergeCell ref="A5:N5"/>
    <mergeCell ref="A18:N18"/>
    <mergeCell ref="A30:N30"/>
  </mergeCells>
  <conditionalFormatting sqref="J5:J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40">
    <cfRule type="cellIs" priority="5" operator="greaterThanOrEqual" dxfId="0">
      <formula>1</formula>
    </cfRule>
    <cfRule type="cellIs" priority="6" operator="between" dxfId="2">
      <formula>0.8</formula>
      <formula>0.999999</formula>
    </cfRule>
    <cfRule type="cellIs" priority="7" operator="lessThan" dxfId="1">
      <formula>0.8</formula>
    </cfRule>
  </conditionalFormatting>
  <conditionalFormatting sqref="N5:N40">
    <cfRule type="expression" priority="8" dxfId="0">
      <formula>N5="OK"</formula>
    </cfRule>
    <cfRule type="expression" priority="9" dxfId="2">
      <formula>N5="Вним."</formula>
    </cfRule>
    <cfRule type="expression" priority="10" dxfId="1">
      <formula>N5="Риск"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2026-05-08T09:39:30Z</dcterms:created>
  <dcterms:modified xsi:type="dcterms:W3CDTF">2026-05-08T09:39:30Z</dcterms:modified>
</cp:coreProperties>
</file>