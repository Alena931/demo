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блон" sheetId="1" state="visible" r:id="rId1"/>
  </sheets>
  <definedNames>
    <definedName name="_xlnm._FilterDatabase" localSheetId="0" hidden="1">'Шаблон'!$A$4:$M$42</definedName>
    <definedName name="_xlnm.Print_Titles" localSheetId="0">'Шаблон'!$1:$4</definedName>
    <definedName name="_xlnm.Print_Area" localSheetId="0">'Шаблон'!$A$1:$M$42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+0%;-0%;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color rgb="00666666"/>
      <sz val="9"/>
    </font>
    <font>
      <b val="1"/>
      <color rgb="001F1F1F"/>
    </font>
    <font>
      <b val="1"/>
      <color rgb="00FFFFFF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0" fillId="0" borderId="1" applyAlignment="1" pivotButton="0" quotePrefix="0" xfId="0">
      <alignment vertical="center" wrapText="1"/>
    </xf>
    <xf numFmtId="3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3" customWidth="1" min="7" max="7"/>
    <col width="11" customWidth="1" min="8" max="8"/>
    <col width="11" customWidth="1" min="9" max="9"/>
    <col width="9" customWidth="1" min="10" max="10"/>
    <col width="9" customWidth="1" min="11" max="11"/>
    <col width="10" customWidth="1" min="12" max="12"/>
    <col width="9" customWidth="1" min="13" max="13"/>
  </cols>
  <sheetData>
    <row r="1" ht="22" customHeight="1">
      <c r="A1" s="1" t="inlineStr">
        <is>
          <t>Шаблон еженедельного отчета продаж</t>
        </is>
      </c>
    </row>
    <row r="2">
      <c r="A2" s="2" t="inlineStr">
        <is>
          <t>Структура и менеджеры сохранены из исходной таблицы. Заполняются только желтые ячейки.</t>
        </is>
      </c>
    </row>
    <row r="4" ht="34" customHeight="1">
      <c r="A4" s="3" t="inlineStr">
        <is>
          <t>Показатель</t>
        </is>
      </c>
      <c r="B4" s="3" t="inlineStr">
        <is>
          <t>1 неделя
(27.04-03.05)</t>
        </is>
      </c>
      <c r="C4" s="3" t="inlineStr">
        <is>
          <t>2 неделя
(04.05-10.05)</t>
        </is>
      </c>
      <c r="D4" s="3" t="inlineStr">
        <is>
          <t>3 неделя
(11.05-17.05)</t>
        </is>
      </c>
      <c r="E4" s="3" t="inlineStr">
        <is>
          <t>4 неделя
(18.05-24.05)</t>
        </is>
      </c>
      <c r="F4" s="3" t="inlineStr">
        <is>
          <t>План</t>
        </is>
      </c>
      <c r="G4" s="3" t="inlineStr">
        <is>
          <t>Факт за период</t>
        </is>
      </c>
      <c r="H4" s="3" t="inlineStr">
        <is>
          <t>Посл. нед.</t>
        </is>
      </c>
      <c r="I4" s="3" t="inlineStr">
        <is>
          <t>Пред. нед.</t>
        </is>
      </c>
      <c r="J4" s="3" t="inlineStr">
        <is>
          <t>+/-</t>
        </is>
      </c>
      <c r="K4" s="3" t="inlineStr">
        <is>
          <t>+/- %</t>
        </is>
      </c>
      <c r="L4" s="3" t="inlineStr">
        <is>
          <t>% плана</t>
        </is>
      </c>
      <c r="M4" s="3" t="inlineStr">
        <is>
          <t>Статус</t>
        </is>
      </c>
    </row>
    <row r="5">
      <c r="A5" s="4" t="inlineStr">
        <is>
          <t>Иван + Мария</t>
        </is>
      </c>
    </row>
    <row r="6">
      <c r="A6" s="5" t="inlineStr">
        <is>
          <t>Новые лиды (общее количество)</t>
        </is>
      </c>
      <c r="B6" s="6" t="n"/>
      <c r="C6" s="6" t="n"/>
      <c r="D6" s="6" t="n"/>
      <c r="E6" s="6" t="n"/>
      <c r="F6" s="6" t="n"/>
      <c r="G6" s="7">
        <f>IF(COUNTA(B6:E6)=0,"",SUM(B6:E6))</f>
        <v/>
      </c>
      <c r="H6" s="7">
        <f>IF(E6&lt;&gt;"",E6,IF(D6&lt;&gt;"",D6,IF(C6&lt;&gt;"",C6,IF(B6&lt;&gt;"",B6,""))))</f>
        <v/>
      </c>
      <c r="I6" s="7">
        <f>IF(E6&lt;&gt;"",D6,IF(D6&lt;&gt;"",C6,IF(C6&lt;&gt;"",B6,"")))</f>
        <v/>
      </c>
      <c r="J6" s="7">
        <f>IF(OR(H6="",I6=""),"",H6-I6)</f>
        <v/>
      </c>
      <c r="K6" s="8">
        <f>IF(OR(H6="",I6="",I6=0),"",J6/I6)</f>
        <v/>
      </c>
      <c r="L6" s="9">
        <f>IF(OR(F6="",F6=0,G6=""),"",G6/F6)</f>
        <v/>
      </c>
      <c r="M6" s="10">
        <f>IF(L6="","",IF(L6&gt;=1,"OK",IF(L6&gt;=0.8,"Вним.","Риск")))</f>
        <v/>
      </c>
    </row>
    <row r="7">
      <c r="A7" s="5" t="inlineStr">
        <is>
          <t>Кол-во лидов, переданных менеджерам</t>
        </is>
      </c>
      <c r="B7" s="6" t="n"/>
      <c r="C7" s="6" t="n"/>
      <c r="D7" s="6" t="n"/>
      <c r="E7" s="6" t="n"/>
      <c r="F7" s="6" t="n"/>
      <c r="G7" s="7">
        <f>IF(COUNTA(B7:E7)=0,"",SUM(B7:E7))</f>
        <v/>
      </c>
      <c r="H7" s="7">
        <f>IF(E7&lt;&gt;"",E7,IF(D7&lt;&gt;"",D7,IF(C7&lt;&gt;"",C7,IF(B7&lt;&gt;"",B7,""))))</f>
        <v/>
      </c>
      <c r="I7" s="7">
        <f>IF(E7&lt;&gt;"",D7,IF(D7&lt;&gt;"",C7,IF(C7&lt;&gt;"",B7,"")))</f>
        <v/>
      </c>
      <c r="J7" s="7">
        <f>IF(OR(H7="",I7=""),"",H7-I7)</f>
        <v/>
      </c>
      <c r="K7" s="8">
        <f>IF(OR(H7="",I7="",I7=0),"",J7/I7)</f>
        <v/>
      </c>
      <c r="L7" s="9">
        <f>IF(OR(F7="",F7=0,G7=""),"",G7/F7)</f>
        <v/>
      </c>
      <c r="M7" s="10">
        <f>IF(L7="","",IF(L7&gt;=1,"OK",IF(L7&gt;=0.8,"Вним.","Риск")))</f>
        <v/>
      </c>
    </row>
    <row r="8">
      <c r="A8" s="5" t="inlineStr">
        <is>
          <t>Квалификация (взяли в воронки)</t>
        </is>
      </c>
      <c r="B8" s="6" t="n"/>
      <c r="C8" s="6" t="n"/>
      <c r="D8" s="6" t="n"/>
      <c r="E8" s="6" t="n"/>
      <c r="F8" s="6" t="n"/>
      <c r="G8" s="7">
        <f>IF(COUNTA(B8:E8)=0,"",SUM(B8:E8))</f>
        <v/>
      </c>
      <c r="H8" s="7">
        <f>IF(E8&lt;&gt;"",E8,IF(D8&lt;&gt;"",D8,IF(C8&lt;&gt;"",C8,IF(B8&lt;&gt;"",B8,""))))</f>
        <v/>
      </c>
      <c r="I8" s="7">
        <f>IF(E8&lt;&gt;"",D8,IF(D8&lt;&gt;"",C8,IF(C8&lt;&gt;"",B8,"")))</f>
        <v/>
      </c>
      <c r="J8" s="7">
        <f>IF(OR(H8="",I8=""),"",H8-I8)</f>
        <v/>
      </c>
      <c r="K8" s="8">
        <f>IF(OR(H8="",I8="",I8=0),"",J8/I8)</f>
        <v/>
      </c>
      <c r="L8" s="9">
        <f>IF(OR(F8="",F8=0,G8=""),"",G8/F8)</f>
        <v/>
      </c>
      <c r="M8" s="10">
        <f>IF(L8="","",IF(L8&gt;=1,"OK",IF(L8&gt;=0.8,"Вним.","Риск")))</f>
        <v/>
      </c>
    </row>
    <row r="9">
      <c r="A9" s="5" t="inlineStr">
        <is>
          <t>ВКС 1</t>
        </is>
      </c>
      <c r="B9" s="6" t="n"/>
      <c r="C9" s="6" t="n"/>
      <c r="D9" s="6" t="n"/>
      <c r="E9" s="6" t="n"/>
      <c r="F9" s="6" t="n"/>
      <c r="G9" s="7">
        <f>IF(COUNTA(B9:E9)=0,"",SUM(B9:E9))</f>
        <v/>
      </c>
      <c r="H9" s="7">
        <f>IF(E9&lt;&gt;"",E9,IF(D9&lt;&gt;"",D9,IF(C9&lt;&gt;"",C9,IF(B9&lt;&gt;"",B9,""))))</f>
        <v/>
      </c>
      <c r="I9" s="7">
        <f>IF(E9&lt;&gt;"",D9,IF(D9&lt;&gt;"",C9,IF(C9&lt;&gt;"",B9,"")))</f>
        <v/>
      </c>
      <c r="J9" s="7">
        <f>IF(OR(H9="",I9=""),"",H9-I9)</f>
        <v/>
      </c>
      <c r="K9" s="8">
        <f>IF(OR(H9="",I9="",I9=0),"",J9/I9)</f>
        <v/>
      </c>
      <c r="L9" s="9">
        <f>IF(OR(F9="",F9=0,G9=""),"",G9/F9)</f>
        <v/>
      </c>
      <c r="M9" s="10">
        <f>IF(L9="","",IF(L9&gt;=1,"OK",IF(L9&gt;=0.8,"Вним.","Риск")))</f>
        <v/>
      </c>
    </row>
    <row r="10">
      <c r="A10" s="5" t="inlineStr">
        <is>
          <t>ВКС 2</t>
        </is>
      </c>
      <c r="B10" s="6" t="n"/>
      <c r="C10" s="6" t="n"/>
      <c r="D10" s="6" t="n"/>
      <c r="E10" s="6" t="n"/>
      <c r="F10" s="6" t="n"/>
      <c r="G10" s="7">
        <f>IF(COUNTA(B10:E10)=0,"",SUM(B10:E10))</f>
        <v/>
      </c>
      <c r="H10" s="7">
        <f>IF(E10&lt;&gt;"",E10,IF(D10&lt;&gt;"",D10,IF(C10&lt;&gt;"",C10,IF(B10&lt;&gt;"",B10,""))))</f>
        <v/>
      </c>
      <c r="I10" s="7">
        <f>IF(E10&lt;&gt;"",D10,IF(D10&lt;&gt;"",C10,IF(C10&lt;&gt;"",B10,"")))</f>
        <v/>
      </c>
      <c r="J10" s="7">
        <f>IF(OR(H10="",I10=""),"",H10-I10)</f>
        <v/>
      </c>
      <c r="K10" s="8">
        <f>IF(OR(H10="",I10="",I10=0),"",J10/I10)</f>
        <v/>
      </c>
      <c r="L10" s="9">
        <f>IF(OR(F10="",F10=0,G10=""),"",G10/F10)</f>
        <v/>
      </c>
      <c r="M10" s="10">
        <f>IF(L10="","",IF(L10&gt;=1,"OK",IF(L10&gt;=0.8,"Вним.","Риск")))</f>
        <v/>
      </c>
    </row>
    <row r="11">
      <c r="A11" s="5" t="inlineStr">
        <is>
          <t>Подготовка к ДТ</t>
        </is>
      </c>
      <c r="B11" s="6" t="n"/>
      <c r="C11" s="6" t="n"/>
      <c r="D11" s="6" t="n"/>
      <c r="E11" s="6" t="n"/>
      <c r="F11" s="6" t="n"/>
      <c r="G11" s="7">
        <f>IF(COUNTA(B11:E11)=0,"",SUM(B11:E11))</f>
        <v/>
      </c>
      <c r="H11" s="7">
        <f>IF(E11&lt;&gt;"",E11,IF(D11&lt;&gt;"",D11,IF(C11&lt;&gt;"",C11,IF(B11&lt;&gt;"",B11,""))))</f>
        <v/>
      </c>
      <c r="I11" s="7">
        <f>IF(E11&lt;&gt;"",D11,IF(D11&lt;&gt;"",C11,IF(C11&lt;&gt;"",B11,"")))</f>
        <v/>
      </c>
      <c r="J11" s="7">
        <f>IF(OR(H11="",I11=""),"",H11-I11)</f>
        <v/>
      </c>
      <c r="K11" s="8">
        <f>IF(OR(H11="",I11="",I11=0),"",J11/I11)</f>
        <v/>
      </c>
      <c r="L11" s="9">
        <f>IF(OR(F11="",F11=0,G11=""),"",G11/F11)</f>
        <v/>
      </c>
      <c r="M11" s="10">
        <f>IF(L11="","",IF(L11&gt;=1,"OK",IF(L11&gt;=0.8,"Вним.","Риск")))</f>
        <v/>
      </c>
    </row>
    <row r="12">
      <c r="A12" s="5" t="inlineStr">
        <is>
          <t>Демо тест</t>
        </is>
      </c>
      <c r="B12" s="6" t="n"/>
      <c r="C12" s="6" t="n"/>
      <c r="D12" s="6" t="n"/>
      <c r="E12" s="6" t="n"/>
      <c r="F12" s="6" t="n"/>
      <c r="G12" s="7">
        <f>IF(COUNTA(B12:E12)=0,"",SUM(B12:E12))</f>
        <v/>
      </c>
      <c r="H12" s="7">
        <f>IF(E12&lt;&gt;"",E12,IF(D12&lt;&gt;"",D12,IF(C12&lt;&gt;"",C12,IF(B12&lt;&gt;"",B12,""))))</f>
        <v/>
      </c>
      <c r="I12" s="7">
        <f>IF(E12&lt;&gt;"",D12,IF(D12&lt;&gt;"",C12,IF(C12&lt;&gt;"",B12,"")))</f>
        <v/>
      </c>
      <c r="J12" s="7">
        <f>IF(OR(H12="",I12=""),"",H12-I12)</f>
        <v/>
      </c>
      <c r="K12" s="8">
        <f>IF(OR(H12="",I12="",I12=0),"",J12/I12)</f>
        <v/>
      </c>
      <c r="L12" s="9">
        <f>IF(OR(F12="",F12=0,G12=""),"",G12/F12)</f>
        <v/>
      </c>
      <c r="M12" s="10">
        <f>IF(L12="","",IF(L12&gt;=1,"OK",IF(L12&gt;=0.8,"Вним.","Риск")))</f>
        <v/>
      </c>
    </row>
    <row r="13">
      <c r="A13" s="5" t="inlineStr">
        <is>
          <t>КП\Счет</t>
        </is>
      </c>
      <c r="B13" s="6" t="n"/>
      <c r="C13" s="6" t="n"/>
      <c r="D13" s="6" t="n"/>
      <c r="E13" s="6" t="n"/>
      <c r="F13" s="6" t="n"/>
      <c r="G13" s="7">
        <f>IF(COUNTA(B13:E13)=0,"",SUM(B13:E13))</f>
        <v/>
      </c>
      <c r="H13" s="7">
        <f>IF(E13&lt;&gt;"",E13,IF(D13&lt;&gt;"",D13,IF(C13&lt;&gt;"",C13,IF(B13&lt;&gt;"",B13,""))))</f>
        <v/>
      </c>
      <c r="I13" s="7">
        <f>IF(E13&lt;&gt;"",D13,IF(D13&lt;&gt;"",C13,IF(C13&lt;&gt;"",B13,"")))</f>
        <v/>
      </c>
      <c r="J13" s="7">
        <f>IF(OR(H13="",I13=""),"",H13-I13)</f>
        <v/>
      </c>
      <c r="K13" s="8">
        <f>IF(OR(H13="",I13="",I13=0),"",J13/I13)</f>
        <v/>
      </c>
      <c r="L13" s="9">
        <f>IF(OR(F13="",F13=0,G13=""),"",G13/F13)</f>
        <v/>
      </c>
      <c r="M13" s="10">
        <f>IF(L13="","",IF(L13&gt;=1,"OK",IF(L13&gt;=0.8,"Вним.","Риск")))</f>
        <v/>
      </c>
    </row>
    <row r="14">
      <c r="A14" s="5" t="inlineStr">
        <is>
          <t>Дожимные звонки (более 3 мин)</t>
        </is>
      </c>
      <c r="B14" s="6" t="n"/>
      <c r="C14" s="6" t="n"/>
      <c r="D14" s="6" t="n"/>
      <c r="E14" s="6" t="n"/>
      <c r="F14" s="6" t="n"/>
      <c r="G14" s="7">
        <f>IF(COUNTA(B14:E14)=0,"",SUM(B14:E14))</f>
        <v/>
      </c>
      <c r="H14" s="7">
        <f>IF(E14&lt;&gt;"",E14,IF(D14&lt;&gt;"",D14,IF(C14&lt;&gt;"",C14,IF(B14&lt;&gt;"",B14,""))))</f>
        <v/>
      </c>
      <c r="I14" s="7">
        <f>IF(E14&lt;&gt;"",D14,IF(D14&lt;&gt;"",C14,IF(C14&lt;&gt;"",B14,"")))</f>
        <v/>
      </c>
      <c r="J14" s="7">
        <f>IF(OR(H14="",I14=""),"",H14-I14)</f>
        <v/>
      </c>
      <c r="K14" s="8">
        <f>IF(OR(H14="",I14="",I14=0),"",J14/I14)</f>
        <v/>
      </c>
      <c r="L14" s="9">
        <f>IF(OR(F14="",F14=0,G14=""),"",G14/F14)</f>
        <v/>
      </c>
      <c r="M14" s="10">
        <f>IF(L14="","",IF(L14&gt;=1,"OK",IF(L14&gt;=0.8,"Вним.","Риск")))</f>
        <v/>
      </c>
    </row>
    <row r="15">
      <c r="A15" s="5" t="inlineStr">
        <is>
          <t>Факт прихода (новые продажи)</t>
        </is>
      </c>
      <c r="B15" s="6" t="n"/>
      <c r="C15" s="6" t="n"/>
      <c r="D15" s="6" t="n"/>
      <c r="E15" s="6" t="n"/>
      <c r="F15" s="6" t="n"/>
      <c r="G15" s="7">
        <f>IF(COUNTA(B15:E15)=0,"",SUM(B15:E15))</f>
        <v/>
      </c>
      <c r="H15" s="7">
        <f>IF(E15&lt;&gt;"",E15,IF(D15&lt;&gt;"",D15,IF(C15&lt;&gt;"",C15,IF(B15&lt;&gt;"",B15,""))))</f>
        <v/>
      </c>
      <c r="I15" s="7">
        <f>IF(E15&lt;&gt;"",D15,IF(D15&lt;&gt;"",C15,IF(C15&lt;&gt;"",B15,"")))</f>
        <v/>
      </c>
      <c r="J15" s="7">
        <f>IF(OR(H15="",I15=""),"",H15-I15)</f>
        <v/>
      </c>
      <c r="K15" s="8">
        <f>IF(OR(H15="",I15="",I15=0),"",J15/I15)</f>
        <v/>
      </c>
      <c r="L15" s="9">
        <f>IF(OR(F15="",F15=0,G15=""),"",G15/F15)</f>
        <v/>
      </c>
      <c r="M15" s="10">
        <f>IF(L15="","",IF(L15&gt;=1,"OK",IF(L15&gt;=0.8,"Вним.","Риск")))</f>
        <v/>
      </c>
    </row>
    <row r="16">
      <c r="A16" s="11" t="inlineStr">
        <is>
          <t>Воронки</t>
        </is>
      </c>
    </row>
    <row r="17">
      <c r="A17" s="5" t="inlineStr">
        <is>
          <t>Sales</t>
        </is>
      </c>
      <c r="B17" s="6" t="n"/>
      <c r="C17" s="6" t="n"/>
      <c r="D17" s="6" t="n"/>
      <c r="E17" s="6" t="n"/>
      <c r="F17" s="6" t="n"/>
      <c r="G17" s="7">
        <f>IF(COUNTA(B17:E17)=0,"",SUM(B17:E17))</f>
        <v/>
      </c>
      <c r="H17" s="7">
        <f>IF(E17&lt;&gt;"",E17,IF(D17&lt;&gt;"",D17,IF(C17&lt;&gt;"",C17,IF(B17&lt;&gt;"",B17,""))))</f>
        <v/>
      </c>
      <c r="I17" s="7">
        <f>IF(E17&lt;&gt;"",D17,IF(D17&lt;&gt;"",C17,IF(C17&lt;&gt;"",B17,"")))</f>
        <v/>
      </c>
      <c r="J17" s="7">
        <f>IF(OR(H17="",I17=""),"",H17-I17)</f>
        <v/>
      </c>
      <c r="K17" s="8">
        <f>IF(OR(H17="",I17="",I17=0),"",J17/I17)</f>
        <v/>
      </c>
      <c r="L17" s="9">
        <f>IF(OR(F17="",F17=0,G17=""),"",G17/F17)</f>
        <v/>
      </c>
      <c r="M17" s="10">
        <f>IF(L17="","",IF(L17&gt;=1,"OK",IF(L17&gt;=0.8,"Вним.","Риск")))</f>
        <v/>
      </c>
    </row>
    <row r="18">
      <c r="A18" s="5" t="inlineStr">
        <is>
          <t>Фокусная группа</t>
        </is>
      </c>
      <c r="B18" s="6" t="n"/>
      <c r="C18" s="6" t="n"/>
      <c r="D18" s="6" t="n"/>
      <c r="E18" s="6" t="n"/>
      <c r="F18" s="6" t="n"/>
      <c r="G18" s="7">
        <f>IF(COUNTA(B18:E18)=0,"",SUM(B18:E18))</f>
        <v/>
      </c>
      <c r="H18" s="7">
        <f>IF(E18&lt;&gt;"",E18,IF(D18&lt;&gt;"",D18,IF(C18&lt;&gt;"",C18,IF(B18&lt;&gt;"",B18,""))))</f>
        <v/>
      </c>
      <c r="I18" s="7">
        <f>IF(E18&lt;&gt;"",D18,IF(D18&lt;&gt;"",C18,IF(C18&lt;&gt;"",B18,"")))</f>
        <v/>
      </c>
      <c r="J18" s="7">
        <f>IF(OR(H18="",I18=""),"",H18-I18)</f>
        <v/>
      </c>
      <c r="K18" s="8">
        <f>IF(OR(H18="",I18="",I18=0),"",J18/I18)</f>
        <v/>
      </c>
      <c r="L18" s="9">
        <f>IF(OR(F18="",F18=0,G18=""),"",G18/F18)</f>
        <v/>
      </c>
      <c r="M18" s="10">
        <f>IF(L18="","",IF(L18&gt;=1,"OK",IF(L18&gt;=0.8,"Вним.","Риск")))</f>
        <v/>
      </c>
    </row>
    <row r="19">
      <c r="A19" s="5" t="inlineStr">
        <is>
          <t>Длинные сделки</t>
        </is>
      </c>
      <c r="B19" s="6" t="n"/>
      <c r="C19" s="6" t="n"/>
      <c r="D19" s="6" t="n"/>
      <c r="E19" s="6" t="n"/>
      <c r="F19" s="6" t="n"/>
      <c r="G19" s="7">
        <f>IF(COUNTA(B19:E19)=0,"",SUM(B19:E19))</f>
        <v/>
      </c>
      <c r="H19" s="7">
        <f>IF(E19&lt;&gt;"",E19,IF(D19&lt;&gt;"",D19,IF(C19&lt;&gt;"",C19,IF(B19&lt;&gt;"",B19,""))))</f>
        <v/>
      </c>
      <c r="I19" s="7">
        <f>IF(E19&lt;&gt;"",D19,IF(D19&lt;&gt;"",C19,IF(C19&lt;&gt;"",B19,"")))</f>
        <v/>
      </c>
      <c r="J19" s="7">
        <f>IF(OR(H19="",I19=""),"",H19-I19)</f>
        <v/>
      </c>
      <c r="K19" s="8">
        <f>IF(OR(H19="",I19="",I19=0),"",J19/I19)</f>
        <v/>
      </c>
      <c r="L19" s="9">
        <f>IF(OR(F19="",F19=0,G19=""),"",G19/F19)</f>
        <v/>
      </c>
      <c r="M19" s="10">
        <f>IF(L19="","",IF(L19&gt;=1,"OK",IF(L19&gt;=0.8,"Вним.","Риск")))</f>
        <v/>
      </c>
    </row>
    <row r="20">
      <c r="A20" s="5" t="inlineStr">
        <is>
          <t>UP-Sales</t>
        </is>
      </c>
      <c r="B20" s="6" t="n"/>
      <c r="C20" s="6" t="n"/>
      <c r="D20" s="6" t="n"/>
      <c r="E20" s="6" t="n"/>
      <c r="F20" s="6" t="n"/>
      <c r="G20" s="7">
        <f>IF(COUNTA(B20:E20)=0,"",SUM(B20:E20))</f>
        <v/>
      </c>
      <c r="H20" s="7">
        <f>IF(E20&lt;&gt;"",E20,IF(D20&lt;&gt;"",D20,IF(C20&lt;&gt;"",C20,IF(B20&lt;&gt;"",B20,""))))</f>
        <v/>
      </c>
      <c r="I20" s="7">
        <f>IF(E20&lt;&gt;"",D20,IF(D20&lt;&gt;"",C20,IF(C20&lt;&gt;"",B20,"")))</f>
        <v/>
      </c>
      <c r="J20" s="7">
        <f>IF(OR(H20="",I20=""),"",H20-I20)</f>
        <v/>
      </c>
      <c r="K20" s="8">
        <f>IF(OR(H20="",I20="",I20=0),"",J20/I20)</f>
        <v/>
      </c>
      <c r="L20" s="9">
        <f>IF(OR(F20="",F20=0,G20=""),"",G20/F20)</f>
        <v/>
      </c>
      <c r="M20" s="10">
        <f>IF(L20="","",IF(L20&gt;=1,"OK",IF(L20&gt;=0.8,"Вним.","Риск")))</f>
        <v/>
      </c>
    </row>
    <row r="21">
      <c r="A21" s="5" t="inlineStr">
        <is>
          <t>Переход из Sale в ДС</t>
        </is>
      </c>
      <c r="B21" s="6" t="n"/>
      <c r="C21" s="6" t="n"/>
      <c r="D21" s="6" t="n"/>
      <c r="E21" s="6" t="n"/>
      <c r="F21" s="6" t="n"/>
      <c r="G21" s="7">
        <f>IF(COUNTA(B21:E21)=0,"",SUM(B21:E21))</f>
        <v/>
      </c>
      <c r="H21" s="7">
        <f>IF(E21&lt;&gt;"",E21,IF(D21&lt;&gt;"",D21,IF(C21&lt;&gt;"",C21,IF(B21&lt;&gt;"",B21,""))))</f>
        <v/>
      </c>
      <c r="I21" s="7">
        <f>IF(E21&lt;&gt;"",D21,IF(D21&lt;&gt;"",C21,IF(C21&lt;&gt;"",B21,"")))</f>
        <v/>
      </c>
      <c r="J21" s="7">
        <f>IF(OR(H21="",I21=""),"",H21-I21)</f>
        <v/>
      </c>
      <c r="K21" s="8">
        <f>IF(OR(H21="",I21="",I21=0),"",J21/I21)</f>
        <v/>
      </c>
      <c r="L21" s="9">
        <f>IF(OR(F21="",F21=0,G21=""),"",G21/F21)</f>
        <v/>
      </c>
      <c r="M21" s="10">
        <f>IF(L21="","",IF(L21&gt;=1,"OK",IF(L21&gt;=0.8,"Вним.","Риск")))</f>
        <v/>
      </c>
    </row>
    <row r="22">
      <c r="A22" s="5" t="inlineStr">
        <is>
          <t>Переход из ДС в Фокус/Sale</t>
        </is>
      </c>
      <c r="B22" s="6" t="n"/>
      <c r="C22" s="6" t="n"/>
      <c r="D22" s="6" t="n"/>
      <c r="E22" s="6" t="n"/>
      <c r="F22" s="6" t="n"/>
      <c r="G22" s="7">
        <f>IF(COUNTA(B22:E22)=0,"",SUM(B22:E22))</f>
        <v/>
      </c>
      <c r="H22" s="7">
        <f>IF(E22&lt;&gt;"",E22,IF(D22&lt;&gt;"",D22,IF(C22&lt;&gt;"",C22,IF(B22&lt;&gt;"",B22,""))))</f>
        <v/>
      </c>
      <c r="I22" s="7">
        <f>IF(E22&lt;&gt;"",D22,IF(D22&lt;&gt;"",C22,IF(C22&lt;&gt;"",B22,"")))</f>
        <v/>
      </c>
      <c r="J22" s="7">
        <f>IF(OR(H22="",I22=""),"",H22-I22)</f>
        <v/>
      </c>
      <c r="K22" s="8">
        <f>IF(OR(H22="",I22="",I22=0),"",J22/I22)</f>
        <v/>
      </c>
      <c r="L22" s="9">
        <f>IF(OR(F22="",F22=0,G22=""),"",G22/F22)</f>
        <v/>
      </c>
      <c r="M22" s="10">
        <f>IF(L22="","",IF(L22&gt;=1,"OK",IF(L22&gt;=0.8,"Вним.","Риск")))</f>
        <v/>
      </c>
    </row>
    <row r="23">
      <c r="A23" s="5" t="inlineStr">
        <is>
          <t>Всего в активных воронках</t>
        </is>
      </c>
      <c r="B23" s="6" t="n"/>
      <c r="C23" s="6" t="n"/>
      <c r="D23" s="6" t="n"/>
      <c r="E23" s="6" t="n"/>
      <c r="F23" s="6" t="n"/>
      <c r="G23" s="7">
        <f>IF(COUNTA(B23:E23)=0,"",SUM(B23:E23))</f>
        <v/>
      </c>
      <c r="H23" s="7">
        <f>IF(E23&lt;&gt;"",E23,IF(D23&lt;&gt;"",D23,IF(C23&lt;&gt;"",C23,IF(B23&lt;&gt;"",B23,""))))</f>
        <v/>
      </c>
      <c r="I23" s="7">
        <f>IF(E23&lt;&gt;"",D23,IF(D23&lt;&gt;"",C23,IF(C23&lt;&gt;"",B23,"")))</f>
        <v/>
      </c>
      <c r="J23" s="7">
        <f>IF(OR(H23="",I23=""),"",H23-I23)</f>
        <v/>
      </c>
      <c r="K23" s="8">
        <f>IF(OR(H23="",I23="",I23=0),"",J23/I23)</f>
        <v/>
      </c>
      <c r="L23" s="9">
        <f>IF(OR(F23="",F23=0,G23=""),"",G23/F23)</f>
        <v/>
      </c>
      <c r="M23" s="10">
        <f>IF(L23="","",IF(L23&gt;=1,"OK",IF(L23&gt;=0.8,"Вним.","Риск")))</f>
        <v/>
      </c>
    </row>
    <row r="25">
      <c r="A25" s="4" t="inlineStr">
        <is>
          <t>Костя</t>
        </is>
      </c>
    </row>
    <row r="26">
      <c r="A26" s="5" t="inlineStr">
        <is>
          <t>Кол-во лидов, переданных менеджерам</t>
        </is>
      </c>
      <c r="B26" s="6" t="n"/>
      <c r="C26" s="6" t="n"/>
      <c r="D26" s="6" t="n"/>
      <c r="E26" s="6" t="n"/>
      <c r="F26" s="6" t="n"/>
      <c r="G26" s="7">
        <f>IF(COUNTA(B26:E26)=0,"",SUM(B26:E26))</f>
        <v/>
      </c>
      <c r="H26" s="7">
        <f>IF(E26&lt;&gt;"",E26,IF(D26&lt;&gt;"",D26,IF(C26&lt;&gt;"",C26,IF(B26&lt;&gt;"",B26,""))))</f>
        <v/>
      </c>
      <c r="I26" s="7">
        <f>IF(E26&lt;&gt;"",D26,IF(D26&lt;&gt;"",C26,IF(C26&lt;&gt;"",B26,"")))</f>
        <v/>
      </c>
      <c r="J26" s="7">
        <f>IF(OR(H26="",I26=""),"",H26-I26)</f>
        <v/>
      </c>
      <c r="K26" s="8">
        <f>IF(OR(H26="",I26="",I26=0),"",J26/I26)</f>
        <v/>
      </c>
      <c r="L26" s="9">
        <f>IF(OR(F26="",F26=0,G26=""),"",G26/F26)</f>
        <v/>
      </c>
      <c r="M26" s="10">
        <f>IF(L26="","",IF(L26&gt;=1,"OK",IF(L26&gt;=0.8,"Вним.","Риск")))</f>
        <v/>
      </c>
    </row>
    <row r="27">
      <c r="A27" s="5" t="inlineStr">
        <is>
          <t>Квалификация (взяли в воронки)</t>
        </is>
      </c>
      <c r="B27" s="6" t="n"/>
      <c r="C27" s="6" t="n"/>
      <c r="D27" s="6" t="n"/>
      <c r="E27" s="6" t="n"/>
      <c r="F27" s="6" t="n"/>
      <c r="G27" s="7">
        <f>IF(COUNTA(B27:E27)=0,"",SUM(B27:E27))</f>
        <v/>
      </c>
      <c r="H27" s="7">
        <f>IF(E27&lt;&gt;"",E27,IF(D27&lt;&gt;"",D27,IF(C27&lt;&gt;"",C27,IF(B27&lt;&gt;"",B27,""))))</f>
        <v/>
      </c>
      <c r="I27" s="7">
        <f>IF(E27&lt;&gt;"",D27,IF(D27&lt;&gt;"",C27,IF(C27&lt;&gt;"",B27,"")))</f>
        <v/>
      </c>
      <c r="J27" s="7">
        <f>IF(OR(H27="",I27=""),"",H27-I27)</f>
        <v/>
      </c>
      <c r="K27" s="8">
        <f>IF(OR(H27="",I27="",I27=0),"",J27/I27)</f>
        <v/>
      </c>
      <c r="L27" s="9">
        <f>IF(OR(F27="",F27=0,G27=""),"",G27/F27)</f>
        <v/>
      </c>
      <c r="M27" s="10">
        <f>IF(L27="","",IF(L27&gt;=1,"OK",IF(L27&gt;=0.8,"Вним.","Риск")))</f>
        <v/>
      </c>
    </row>
    <row r="28">
      <c r="A28" s="5" t="inlineStr">
        <is>
          <t>ВКС 1</t>
        </is>
      </c>
      <c r="B28" s="6" t="n"/>
      <c r="C28" s="6" t="n"/>
      <c r="D28" s="6" t="n"/>
      <c r="E28" s="6" t="n"/>
      <c r="F28" s="6" t="n"/>
      <c r="G28" s="7">
        <f>IF(COUNTA(B28:E28)=0,"",SUM(B28:E28))</f>
        <v/>
      </c>
      <c r="H28" s="7">
        <f>IF(E28&lt;&gt;"",E28,IF(D28&lt;&gt;"",D28,IF(C28&lt;&gt;"",C28,IF(B28&lt;&gt;"",B28,""))))</f>
        <v/>
      </c>
      <c r="I28" s="7">
        <f>IF(E28&lt;&gt;"",D28,IF(D28&lt;&gt;"",C28,IF(C28&lt;&gt;"",B28,"")))</f>
        <v/>
      </c>
      <c r="J28" s="7">
        <f>IF(OR(H28="",I28=""),"",H28-I28)</f>
        <v/>
      </c>
      <c r="K28" s="8">
        <f>IF(OR(H28="",I28="",I28=0),"",J28/I28)</f>
        <v/>
      </c>
      <c r="L28" s="9">
        <f>IF(OR(F28="",F28=0,G28=""),"",G28/F28)</f>
        <v/>
      </c>
      <c r="M28" s="10">
        <f>IF(L28="","",IF(L28&gt;=1,"OK",IF(L28&gt;=0.8,"Вним.","Риск")))</f>
        <v/>
      </c>
    </row>
    <row r="29">
      <c r="A29" s="5" t="inlineStr">
        <is>
          <t>ВКС 2</t>
        </is>
      </c>
      <c r="B29" s="6" t="n"/>
      <c r="C29" s="6" t="n"/>
      <c r="D29" s="6" t="n"/>
      <c r="E29" s="6" t="n"/>
      <c r="F29" s="6" t="n"/>
      <c r="G29" s="7">
        <f>IF(COUNTA(B29:E29)=0,"",SUM(B29:E29))</f>
        <v/>
      </c>
      <c r="H29" s="7">
        <f>IF(E29&lt;&gt;"",E29,IF(D29&lt;&gt;"",D29,IF(C29&lt;&gt;"",C29,IF(B29&lt;&gt;"",B29,""))))</f>
        <v/>
      </c>
      <c r="I29" s="7">
        <f>IF(E29&lt;&gt;"",D29,IF(D29&lt;&gt;"",C29,IF(C29&lt;&gt;"",B29,"")))</f>
        <v/>
      </c>
      <c r="J29" s="7">
        <f>IF(OR(H29="",I29=""),"",H29-I29)</f>
        <v/>
      </c>
      <c r="K29" s="8">
        <f>IF(OR(H29="",I29="",I29=0),"",J29/I29)</f>
        <v/>
      </c>
      <c r="L29" s="9">
        <f>IF(OR(F29="",F29=0,G29=""),"",G29/F29)</f>
        <v/>
      </c>
      <c r="M29" s="10">
        <f>IF(L29="","",IF(L29&gt;=1,"OK",IF(L29&gt;=0.8,"Вним.","Риск")))</f>
        <v/>
      </c>
    </row>
    <row r="30">
      <c r="A30" s="5" t="inlineStr">
        <is>
          <t>Подготовка к ДТ</t>
        </is>
      </c>
      <c r="B30" s="6" t="n"/>
      <c r="C30" s="6" t="n"/>
      <c r="D30" s="6" t="n"/>
      <c r="E30" s="6" t="n"/>
      <c r="F30" s="6" t="n"/>
      <c r="G30" s="7">
        <f>IF(COUNTA(B30:E30)=0,"",SUM(B30:E30))</f>
        <v/>
      </c>
      <c r="H30" s="7">
        <f>IF(E30&lt;&gt;"",E30,IF(D30&lt;&gt;"",D30,IF(C30&lt;&gt;"",C30,IF(B30&lt;&gt;"",B30,""))))</f>
        <v/>
      </c>
      <c r="I30" s="7">
        <f>IF(E30&lt;&gt;"",D30,IF(D30&lt;&gt;"",C30,IF(C30&lt;&gt;"",B30,"")))</f>
        <v/>
      </c>
      <c r="J30" s="7">
        <f>IF(OR(H30="",I30=""),"",H30-I30)</f>
        <v/>
      </c>
      <c r="K30" s="8">
        <f>IF(OR(H30="",I30="",I30=0),"",J30/I30)</f>
        <v/>
      </c>
      <c r="L30" s="9">
        <f>IF(OR(F30="",F30=0,G30=""),"",G30/F30)</f>
        <v/>
      </c>
      <c r="M30" s="10">
        <f>IF(L30="","",IF(L30&gt;=1,"OK",IF(L30&gt;=0.8,"Вним.","Риск")))</f>
        <v/>
      </c>
    </row>
    <row r="31">
      <c r="A31" s="5" t="inlineStr">
        <is>
          <t>Демо тест</t>
        </is>
      </c>
      <c r="B31" s="6" t="n"/>
      <c r="C31" s="6" t="n"/>
      <c r="D31" s="6" t="n"/>
      <c r="E31" s="6" t="n"/>
      <c r="F31" s="6" t="n"/>
      <c r="G31" s="7">
        <f>IF(COUNTA(B31:E31)=0,"",SUM(B31:E31))</f>
        <v/>
      </c>
      <c r="H31" s="7">
        <f>IF(E31&lt;&gt;"",E31,IF(D31&lt;&gt;"",D31,IF(C31&lt;&gt;"",C31,IF(B31&lt;&gt;"",B31,""))))</f>
        <v/>
      </c>
      <c r="I31" s="7">
        <f>IF(E31&lt;&gt;"",D31,IF(D31&lt;&gt;"",C31,IF(C31&lt;&gt;"",B31,"")))</f>
        <v/>
      </c>
      <c r="J31" s="7">
        <f>IF(OR(H31="",I31=""),"",H31-I31)</f>
        <v/>
      </c>
      <c r="K31" s="8">
        <f>IF(OR(H31="",I31="",I31=0),"",J31/I31)</f>
        <v/>
      </c>
      <c r="L31" s="9">
        <f>IF(OR(F31="",F31=0,G31=""),"",G31/F31)</f>
        <v/>
      </c>
      <c r="M31" s="10">
        <f>IF(L31="","",IF(L31&gt;=1,"OK",IF(L31&gt;=0.8,"Вним.","Риск")))</f>
        <v/>
      </c>
    </row>
    <row r="32">
      <c r="A32" s="5" t="inlineStr">
        <is>
          <t>КП\Счет</t>
        </is>
      </c>
      <c r="B32" s="6" t="n"/>
      <c r="C32" s="6" t="n"/>
      <c r="D32" s="6" t="n"/>
      <c r="E32" s="6" t="n"/>
      <c r="F32" s="6" t="n"/>
      <c r="G32" s="7">
        <f>IF(COUNTA(B32:E32)=0,"",SUM(B32:E32))</f>
        <v/>
      </c>
      <c r="H32" s="7">
        <f>IF(E32&lt;&gt;"",E32,IF(D32&lt;&gt;"",D32,IF(C32&lt;&gt;"",C32,IF(B32&lt;&gt;"",B32,""))))</f>
        <v/>
      </c>
      <c r="I32" s="7">
        <f>IF(E32&lt;&gt;"",D32,IF(D32&lt;&gt;"",C32,IF(C32&lt;&gt;"",B32,"")))</f>
        <v/>
      </c>
      <c r="J32" s="7">
        <f>IF(OR(H32="",I32=""),"",H32-I32)</f>
        <v/>
      </c>
      <c r="K32" s="8">
        <f>IF(OR(H32="",I32="",I32=0),"",J32/I32)</f>
        <v/>
      </c>
      <c r="L32" s="9">
        <f>IF(OR(F32="",F32=0,G32=""),"",G32/F32)</f>
        <v/>
      </c>
      <c r="M32" s="10">
        <f>IF(L32="","",IF(L32&gt;=1,"OK",IF(L32&gt;=0.8,"Вним.","Риск")))</f>
        <v/>
      </c>
    </row>
    <row r="33">
      <c r="A33" s="5" t="inlineStr">
        <is>
          <t>Дожимные звонки (более 3 мин)</t>
        </is>
      </c>
      <c r="B33" s="6" t="n"/>
      <c r="C33" s="6" t="n"/>
      <c r="D33" s="6" t="n"/>
      <c r="E33" s="6" t="n"/>
      <c r="F33" s="6" t="n"/>
      <c r="G33" s="7">
        <f>IF(COUNTA(B33:E33)=0,"",SUM(B33:E33))</f>
        <v/>
      </c>
      <c r="H33" s="7">
        <f>IF(E33&lt;&gt;"",E33,IF(D33&lt;&gt;"",D33,IF(C33&lt;&gt;"",C33,IF(B33&lt;&gt;"",B33,""))))</f>
        <v/>
      </c>
      <c r="I33" s="7">
        <f>IF(E33&lt;&gt;"",D33,IF(D33&lt;&gt;"",C33,IF(C33&lt;&gt;"",B33,"")))</f>
        <v/>
      </c>
      <c r="J33" s="7">
        <f>IF(OR(H33="",I33=""),"",H33-I33)</f>
        <v/>
      </c>
      <c r="K33" s="8">
        <f>IF(OR(H33="",I33="",I33=0),"",J33/I33)</f>
        <v/>
      </c>
      <c r="L33" s="9">
        <f>IF(OR(F33="",F33=0,G33=""),"",G33/F33)</f>
        <v/>
      </c>
      <c r="M33" s="10">
        <f>IF(L33="","",IF(L33&gt;=1,"OK",IF(L33&gt;=0.8,"Вним.","Риск")))</f>
        <v/>
      </c>
    </row>
    <row r="34">
      <c r="A34" s="5" t="inlineStr">
        <is>
          <t>Факт прихода (новые продажи)</t>
        </is>
      </c>
      <c r="B34" s="6" t="n"/>
      <c r="C34" s="6" t="n"/>
      <c r="D34" s="6" t="n"/>
      <c r="E34" s="6" t="n"/>
      <c r="F34" s="6" t="n"/>
      <c r="G34" s="7">
        <f>IF(COUNTA(B34:E34)=0,"",SUM(B34:E34))</f>
        <v/>
      </c>
      <c r="H34" s="7">
        <f>IF(E34&lt;&gt;"",E34,IF(D34&lt;&gt;"",D34,IF(C34&lt;&gt;"",C34,IF(B34&lt;&gt;"",B34,""))))</f>
        <v/>
      </c>
      <c r="I34" s="7">
        <f>IF(E34&lt;&gt;"",D34,IF(D34&lt;&gt;"",C34,IF(C34&lt;&gt;"",B34,"")))</f>
        <v/>
      </c>
      <c r="J34" s="7">
        <f>IF(OR(H34="",I34=""),"",H34-I34)</f>
        <v/>
      </c>
      <c r="K34" s="8">
        <f>IF(OR(H34="",I34="",I34=0),"",J34/I34)</f>
        <v/>
      </c>
      <c r="L34" s="9">
        <f>IF(OR(F34="",F34=0,G34=""),"",G34/F34)</f>
        <v/>
      </c>
      <c r="M34" s="10">
        <f>IF(L34="","",IF(L34&gt;=1,"OK",IF(L34&gt;=0.8,"Вним.","Риск")))</f>
        <v/>
      </c>
    </row>
    <row r="35">
      <c r="A35" s="11" t="inlineStr">
        <is>
          <t>Воронки</t>
        </is>
      </c>
    </row>
    <row r="36">
      <c r="A36" s="5" t="inlineStr">
        <is>
          <t>Sales</t>
        </is>
      </c>
      <c r="B36" s="6" t="n"/>
      <c r="C36" s="6" t="n"/>
      <c r="D36" s="6" t="n"/>
      <c r="E36" s="6" t="n"/>
      <c r="F36" s="6" t="n"/>
      <c r="G36" s="7">
        <f>IF(COUNTA(B36:E36)=0,"",SUM(B36:E36))</f>
        <v/>
      </c>
      <c r="H36" s="7">
        <f>IF(E36&lt;&gt;"",E36,IF(D36&lt;&gt;"",D36,IF(C36&lt;&gt;"",C36,IF(B36&lt;&gt;"",B36,""))))</f>
        <v/>
      </c>
      <c r="I36" s="7">
        <f>IF(E36&lt;&gt;"",D36,IF(D36&lt;&gt;"",C36,IF(C36&lt;&gt;"",B36,"")))</f>
        <v/>
      </c>
      <c r="J36" s="7">
        <f>IF(OR(H36="",I36=""),"",H36-I36)</f>
        <v/>
      </c>
      <c r="K36" s="8">
        <f>IF(OR(H36="",I36="",I36=0),"",J36/I36)</f>
        <v/>
      </c>
      <c r="L36" s="9">
        <f>IF(OR(F36="",F36=0,G36=""),"",G36/F36)</f>
        <v/>
      </c>
      <c r="M36" s="10">
        <f>IF(L36="","",IF(L36&gt;=1,"OK",IF(L36&gt;=0.8,"Вним.","Риск")))</f>
        <v/>
      </c>
    </row>
    <row r="37">
      <c r="A37" s="5" t="inlineStr">
        <is>
          <t>Фокусная группа</t>
        </is>
      </c>
      <c r="B37" s="6" t="n"/>
      <c r="C37" s="6" t="n"/>
      <c r="D37" s="6" t="n"/>
      <c r="E37" s="6" t="n"/>
      <c r="F37" s="6" t="n"/>
      <c r="G37" s="7">
        <f>IF(COUNTA(B37:E37)=0,"",SUM(B37:E37))</f>
        <v/>
      </c>
      <c r="H37" s="7">
        <f>IF(E37&lt;&gt;"",E37,IF(D37&lt;&gt;"",D37,IF(C37&lt;&gt;"",C37,IF(B37&lt;&gt;"",B37,""))))</f>
        <v/>
      </c>
      <c r="I37" s="7">
        <f>IF(E37&lt;&gt;"",D37,IF(D37&lt;&gt;"",C37,IF(C37&lt;&gt;"",B37,"")))</f>
        <v/>
      </c>
      <c r="J37" s="7">
        <f>IF(OR(H37="",I37=""),"",H37-I37)</f>
        <v/>
      </c>
      <c r="K37" s="8">
        <f>IF(OR(H37="",I37="",I37=0),"",J37/I37)</f>
        <v/>
      </c>
      <c r="L37" s="9">
        <f>IF(OR(F37="",F37=0,G37=""),"",G37/F37)</f>
        <v/>
      </c>
      <c r="M37" s="10">
        <f>IF(L37="","",IF(L37&gt;=1,"OK",IF(L37&gt;=0.8,"Вним.","Риск")))</f>
        <v/>
      </c>
    </row>
    <row r="38">
      <c r="A38" s="5" t="inlineStr">
        <is>
          <t>Длинные сделки</t>
        </is>
      </c>
      <c r="B38" s="6" t="n"/>
      <c r="C38" s="6" t="n"/>
      <c r="D38" s="6" t="n"/>
      <c r="E38" s="6" t="n"/>
      <c r="F38" s="6" t="n"/>
      <c r="G38" s="7">
        <f>IF(COUNTA(B38:E38)=0,"",SUM(B38:E38))</f>
        <v/>
      </c>
      <c r="H38" s="7">
        <f>IF(E38&lt;&gt;"",E38,IF(D38&lt;&gt;"",D38,IF(C38&lt;&gt;"",C38,IF(B38&lt;&gt;"",B38,""))))</f>
        <v/>
      </c>
      <c r="I38" s="7">
        <f>IF(E38&lt;&gt;"",D38,IF(D38&lt;&gt;"",C38,IF(C38&lt;&gt;"",B38,"")))</f>
        <v/>
      </c>
      <c r="J38" s="7">
        <f>IF(OR(H38="",I38=""),"",H38-I38)</f>
        <v/>
      </c>
      <c r="K38" s="8">
        <f>IF(OR(H38="",I38="",I38=0),"",J38/I38)</f>
        <v/>
      </c>
      <c r="L38" s="9">
        <f>IF(OR(F38="",F38=0,G38=""),"",G38/F38)</f>
        <v/>
      </c>
      <c r="M38" s="10">
        <f>IF(L38="","",IF(L38&gt;=1,"OK",IF(L38&gt;=0.8,"Вним.","Риск")))</f>
        <v/>
      </c>
    </row>
    <row r="39">
      <c r="A39" s="5" t="inlineStr">
        <is>
          <t>UP-Sales</t>
        </is>
      </c>
      <c r="B39" s="6" t="n"/>
      <c r="C39" s="6" t="n"/>
      <c r="D39" s="6" t="n"/>
      <c r="E39" s="6" t="n"/>
      <c r="F39" s="6" t="n"/>
      <c r="G39" s="7">
        <f>IF(COUNTA(B39:E39)=0,"",SUM(B39:E39))</f>
        <v/>
      </c>
      <c r="H39" s="7">
        <f>IF(E39&lt;&gt;"",E39,IF(D39&lt;&gt;"",D39,IF(C39&lt;&gt;"",C39,IF(B39&lt;&gt;"",B39,""))))</f>
        <v/>
      </c>
      <c r="I39" s="7">
        <f>IF(E39&lt;&gt;"",D39,IF(D39&lt;&gt;"",C39,IF(C39&lt;&gt;"",B39,"")))</f>
        <v/>
      </c>
      <c r="J39" s="7">
        <f>IF(OR(H39="",I39=""),"",H39-I39)</f>
        <v/>
      </c>
      <c r="K39" s="8">
        <f>IF(OR(H39="",I39="",I39=0),"",J39/I39)</f>
        <v/>
      </c>
      <c r="L39" s="9">
        <f>IF(OR(F39="",F39=0,G39=""),"",G39/F39)</f>
        <v/>
      </c>
      <c r="M39" s="10">
        <f>IF(L39="","",IF(L39&gt;=1,"OK",IF(L39&gt;=0.8,"Вним.","Риск")))</f>
        <v/>
      </c>
    </row>
    <row r="40">
      <c r="A40" s="5" t="inlineStr">
        <is>
          <t>Переход из Sale в ДС</t>
        </is>
      </c>
      <c r="B40" s="6" t="n"/>
      <c r="C40" s="6" t="n"/>
      <c r="D40" s="6" t="n"/>
      <c r="E40" s="6" t="n"/>
      <c r="F40" s="6" t="n"/>
      <c r="G40" s="7">
        <f>IF(COUNTA(B40:E40)=0,"",SUM(B40:E40))</f>
        <v/>
      </c>
      <c r="H40" s="7">
        <f>IF(E40&lt;&gt;"",E40,IF(D40&lt;&gt;"",D40,IF(C40&lt;&gt;"",C40,IF(B40&lt;&gt;"",B40,""))))</f>
        <v/>
      </c>
      <c r="I40" s="7">
        <f>IF(E40&lt;&gt;"",D40,IF(D40&lt;&gt;"",C40,IF(C40&lt;&gt;"",B40,"")))</f>
        <v/>
      </c>
      <c r="J40" s="7">
        <f>IF(OR(H40="",I40=""),"",H40-I40)</f>
        <v/>
      </c>
      <c r="K40" s="8">
        <f>IF(OR(H40="",I40="",I40=0),"",J40/I40)</f>
        <v/>
      </c>
      <c r="L40" s="9">
        <f>IF(OR(F40="",F40=0,G40=""),"",G40/F40)</f>
        <v/>
      </c>
      <c r="M40" s="10">
        <f>IF(L40="","",IF(L40&gt;=1,"OK",IF(L40&gt;=0.8,"Вним.","Риск")))</f>
        <v/>
      </c>
    </row>
    <row r="41">
      <c r="A41" s="5" t="inlineStr">
        <is>
          <t>Переход из ДС в Фокус/Sale</t>
        </is>
      </c>
      <c r="B41" s="6" t="n"/>
      <c r="C41" s="6" t="n"/>
      <c r="D41" s="6" t="n"/>
      <c r="E41" s="6" t="n"/>
      <c r="F41" s="6" t="n"/>
      <c r="G41" s="7">
        <f>IF(COUNTA(B41:E41)=0,"",SUM(B41:E41))</f>
        <v/>
      </c>
      <c r="H41" s="7">
        <f>IF(E41&lt;&gt;"",E41,IF(D41&lt;&gt;"",D41,IF(C41&lt;&gt;"",C41,IF(B41&lt;&gt;"",B41,""))))</f>
        <v/>
      </c>
      <c r="I41" s="7">
        <f>IF(E41&lt;&gt;"",D41,IF(D41&lt;&gt;"",C41,IF(C41&lt;&gt;"",B41,"")))</f>
        <v/>
      </c>
      <c r="J41" s="7">
        <f>IF(OR(H41="",I41=""),"",H41-I41)</f>
        <v/>
      </c>
      <c r="K41" s="8">
        <f>IF(OR(H41="",I41="",I41=0),"",J41/I41)</f>
        <v/>
      </c>
      <c r="L41" s="9">
        <f>IF(OR(F41="",F41=0,G41=""),"",G41/F41)</f>
        <v/>
      </c>
      <c r="M41" s="10">
        <f>IF(L41="","",IF(L41&gt;=1,"OK",IF(L41&gt;=0.8,"Вним.","Риск")))</f>
        <v/>
      </c>
    </row>
    <row r="42">
      <c r="A42" s="5" t="inlineStr">
        <is>
          <t>Всего в активных воронках</t>
        </is>
      </c>
      <c r="B42" s="6" t="n"/>
      <c r="C42" s="6" t="n"/>
      <c r="D42" s="6" t="n"/>
      <c r="E42" s="6" t="n"/>
      <c r="F42" s="6" t="n"/>
      <c r="G42" s="7">
        <f>IF(COUNTA(B42:E42)=0,"",SUM(B42:E42))</f>
        <v/>
      </c>
      <c r="H42" s="7">
        <f>IF(E42&lt;&gt;"",E42,IF(D42&lt;&gt;"",D42,IF(C42&lt;&gt;"",C42,IF(B42&lt;&gt;"",B42,""))))</f>
        <v/>
      </c>
      <c r="I42" s="7">
        <f>IF(E42&lt;&gt;"",D42,IF(D42&lt;&gt;"",C42,IF(C42&lt;&gt;"",B42,"")))</f>
        <v/>
      </c>
      <c r="J42" s="7">
        <f>IF(OR(H42="",I42=""),"",H42-I42)</f>
        <v/>
      </c>
      <c r="K42" s="8">
        <f>IF(OR(H42="",I42="",I42=0),"",J42/I42)</f>
        <v/>
      </c>
      <c r="L42" s="9">
        <f>IF(OR(F42="",F42=0,G42=""),"",G42/F42)</f>
        <v/>
      </c>
      <c r="M42" s="10">
        <f>IF(L42="","",IF(L42&gt;=1,"OK",IF(L42&gt;=0.8,"Вним.","Риск")))</f>
        <v/>
      </c>
    </row>
  </sheetData>
  <autoFilter ref="A4:M42"/>
  <mergeCells count="4">
    <mergeCell ref="A25:M25"/>
    <mergeCell ref="A16:M16"/>
    <mergeCell ref="A5:M5"/>
    <mergeCell ref="A35:M35"/>
  </mergeCells>
  <conditionalFormatting sqref="J5:J4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5:K4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L5:L42">
    <cfRule type="cellIs" priority="5" operator="greaterThanOrEqual" dxfId="0">
      <formula>1</formula>
    </cfRule>
    <cfRule type="cellIs" priority="6" operator="between" dxfId="2">
      <formula>0.8</formula>
      <formula>0.999999</formula>
    </cfRule>
    <cfRule type="cellIs" priority="7" operator="lessThan" dxfId="1">
      <formula>0.8</formula>
    </cfRule>
  </conditionalFormatting>
  <conditionalFormatting sqref="M5:M42">
    <cfRule type="expression" priority="8" dxfId="0">
      <formula>M5="OK"</formula>
    </cfRule>
    <cfRule type="expression" priority="9" dxfId="2">
      <formula>M5="Вним."</formula>
    </cfRule>
    <cfRule type="expression" priority="10" dxfId="1">
      <formula>M5="Риск"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2026-05-08T09:48:11Z</dcterms:created>
  <dcterms:modified xsi:type="dcterms:W3CDTF">2026-05-08T09:48:11Z</dcterms:modified>
</cp:coreProperties>
</file>