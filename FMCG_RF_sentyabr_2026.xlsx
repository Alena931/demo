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Как читать" sheetId="1" state="visible" r:id="rId1"/>
    <sheet name="1. Выводы" sheetId="2" state="visible" r:id="rId2"/>
    <sheet name="2. Сети" sheetId="3" state="visible" r:id="rId3"/>
    <sheet name="3. Производители" sheetId="4" state="visible" r:id="rId4"/>
    <sheet name="4. Источники" sheetId="5" state="visible" r:id="rId5"/>
  </sheets>
  <definedNames>
    <definedName name="_xlnm._FilterDatabase" localSheetId="2" hidden="1">'2. Сети'!$A$1:$H$52</definedName>
    <definedName name="_xlnm._FilterDatabase" localSheetId="3" hidden="1">'3. Производители'!$A$1:$H$65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1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vertical="center" wrapText="1"/>
    </xf>
    <xf numFmtId="4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Calibri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Топ сетей по выручке 2025, млрд 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Выводы'!B13</f>
            </strRef>
          </tx>
          <spPr>
            <a:ln>
              <a:prstDash val="solid"/>
            </a:ln>
          </spPr>
          <cat>
            <numRef>
              <f>'1. Выводы'!$A$14:$A$23</f>
            </numRef>
          </cat>
          <val>
            <numRef>
              <f>'1. Выводы'!$B$14:$B$23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Прибыль тех же сетей 2025, млрд 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Выводы'!C13</f>
            </strRef>
          </tx>
          <spPr>
            <a:ln>
              <a:prstDash val="solid"/>
            </a:ln>
          </spPr>
          <cat>
            <numRef>
              <f>'1. Выводы'!$A$14:$A$22</f>
            </numRef>
          </cat>
          <val>
            <numRef>
              <f>'1. Выводы'!$C$14:$C$22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Топ-10 производителей Food&amp;Drink 2025, млрд 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Выводы'!F13</f>
            </strRef>
          </tx>
          <spPr>
            <a:ln>
              <a:prstDash val="solid"/>
            </a:ln>
          </spPr>
          <cat>
            <numRef>
              <f>'1. Выводы'!$E$14:$E$23</f>
            </numRef>
          </cat>
          <val>
            <numRef>
              <f>'1. Выводы'!$F$14:$F$23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25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FMCG Россия — финансовый срез на сентябрь 2026</t>
        </is>
      </c>
    </row>
    <row r="3">
      <c r="A3" s="2" t="inlineStr">
        <is>
          <t>Таблицы</t>
        </is>
      </c>
    </row>
    <row r="4" ht="64" customHeight="1">
      <c r="A4" s="3" t="inlineStr">
        <is>
          <t>Листы «Сети» и «Производители»: только 8 столбцов со скриншота. Строк больше 50, если нашлись; пустых «н/д»-заглушек нет. Сети: 51 с хотя бы одной раскрытой цифрой 2025 (из них 39 независимых операторов, остальные — бренды/юрлица внутри групп, жёлтым). Производители: 64 с раскрытием (из них 63 независимых контуров).</t>
        </is>
      </c>
    </row>
    <row r="6">
      <c r="A6" s="2" t="inlineStr">
        <is>
          <t>Что считать раскрытым</t>
        </is>
      </c>
    </row>
    <row r="7" ht="40" customHeight="1">
      <c r="A7" s="3" t="inlineStr">
        <is>
          <t>В строке есть хотя бы одно из: выручка, YoY, прибыль, чистый долг, магазины/заводы, доля Food. «н/д» в соседних ячейках — открытой сопоставимой цифры нет, ничего не досчитано.</t>
        </is>
      </c>
    </row>
    <row r="9">
      <c r="A9" s="2" t="inlineStr">
        <is>
          <t>Период и контур</t>
        </is>
      </c>
    </row>
    <row r="10" ht="48" customHeight="1">
      <c r="A10" s="3" t="inlineStr">
        <is>
          <t>Основной столбец — полный 2025 (последний закрытый год). Доля Food у X5 — INFOLine YE2025 (16,6%); у Магнита — последний опубликованный срез INFOLine Q1 2026 (12,3%). Два независимых рейтинга, не пары «сеть ↔ производитель». РФ only.</t>
        </is>
      </c>
    </row>
    <row r="12">
      <c r="A12" s="2" t="inlineStr">
        <is>
          <t>Жёлтые строки</t>
        </is>
      </c>
    </row>
    <row r="13" ht="48" customHeight="1">
      <c r="A13" s="3" t="inlineStr">
        <is>
          <t>Бренд или юрлицо внутри уже стоящей выше группы (Пятёрочка внутри X5, Альфа-М внутри Mercury, ВБД внутри PepsiCo и т.п.). Цифры нужны для полки, суммировать с холдингом нельзя.</t>
        </is>
      </c>
    </row>
    <row r="15">
      <c r="A15" s="2" t="inlineStr">
        <is>
          <t>Источники (иерархия)</t>
        </is>
      </c>
    </row>
    <row r="16" ht="48" customHeight="1">
      <c r="A16" s="3" t="inlineStr">
        <is>
          <t>1) МСФО эмитента. 2) INFOLine Food retail / Food&amp;Drink 2026. 3) РСБУ юрлица. 4) Ведомости / Т-Ж / Союзмолоко / Milknews. При расхождении в ячейке приоритетный источник: МСФО/INFOLine важнее РСБУ одного юрлица.</t>
        </is>
      </c>
    </row>
    <row r="18">
      <c r="A18" s="2" t="inlineStr">
        <is>
          <t>Дата сборки</t>
        </is>
      </c>
    </row>
    <row r="19">
      <c r="A19" s="3" t="inlineStr">
        <is>
          <t>13 октября 2026. Срез «на сентябрь 2026» = отчётность 2025 + опубликованные операционные факты 2026, без смешения лет в одной ячейке выручки.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5911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Тезисы — для слайда или письма</t>
        </is>
      </c>
    </row>
    <row r="3" ht="44" customHeight="1">
      <c r="A3" s="3" t="inlineStr">
        <is>
          <t>1. Рынок Food РФ концентрируется: топ-10 сетей ≈ 12,7 трлн ₽ выручки 2025 (INFOLine), доля топ-10 в РТО Food 45,9% в 1 кв. 2026. X5 16,6% (YE2025) / 17,4% (Q1 2026), Магнит 12,3% (Q1 2026).</t>
        </is>
      </c>
    </row>
    <row r="4" ht="44" customHeight="1">
      <c r="A4" s="3" t="inlineStr">
        <is>
          <t>2. Выручка лидеров растёт, прибыль — нет. X5: 4,64 трлн (+18,8%), прибыль 94,8 млрд. Магнит: 3,51 трлн (+15,3%), убыток ≈ 16,6 млрд, чистый долг 496 млрд.</t>
        </is>
      </c>
    </row>
    <row r="5" ht="44" customHeight="1">
      <c r="A5" s="3" t="inlineStr">
        <is>
          <t>3. Из топ-4 одновременно ускорили выручку и прибыль Лента (1,10 трлн, +24,2%; прибыль 38,2) и Mercury (1,66 трлн, +20%; прибыль 54,5). Лента: долг 48,8 млрд.</t>
        </is>
      </c>
    </row>
    <row r="6" ht="44" customHeight="1">
      <c r="A6" s="3" t="inlineStr">
        <is>
          <t>4. Хард-дискаунтер расколот: Чижик (внутри X5) 417,5 млрд (+67%), Светофор 394 млрд (−3%) и сжатие сети. Семишагофф 70,7 млрд (+29%), Находка ~82 млрд.</t>
        </is>
      </c>
    </row>
    <row r="7" ht="44" customHeight="1">
      <c r="A7" s="3" t="inlineStr">
        <is>
          <t>5. Производители: топ-10 Food&amp;Drink = 3 трлн ₽ (+9,1%). PepsiCo РФ 399 и Русагро 397 почти вничью. В десятке уже 5 агрохолдингов.</t>
        </is>
      </c>
    </row>
    <row r="8" ht="44" customHeight="1">
      <c r="A8" s="3" t="inlineStr">
        <is>
          <t>6. На полке молочки 2025 лидер «Логика молока» 167,1 млрд, не ВБД (162,3, внутри PepsiCo). Пиво: «Напитки вместе» 164,7; Балтика 145,9 выручки и 13,3 прибыли.</t>
        </is>
      </c>
    </row>
    <row r="9" ht="44" customHeight="1">
      <c r="A9" s="3" t="inlineStr">
        <is>
          <t>7. Регионалы с твёрдой выручкой &gt;100 млрд: Верный 154, SPAR МВ 136, Мария-Ра 128, Ермолино ~111, Командор 100. Ниже — зона РСБУ отдельных юрлиц, не всегда вся вывеска.</t>
        </is>
      </c>
    </row>
    <row r="10" ht="44" customHeight="1">
      <c r="A10" s="3" t="inlineStr">
        <is>
          <t>8. Для переговоров/полки: кэш у X5, Ленты, Mercury, Черкизово, Русагро. Осторожнее Магнит (долг/убыток) и Светофор (сжатие). Жёлтые строки не прибавлять к холдингу.</t>
        </is>
      </c>
    </row>
    <row r="12">
      <c r="A12" s="4" t="inlineStr">
        <is>
          <t>Данные для графиков</t>
        </is>
      </c>
    </row>
    <row r="13">
      <c r="A13" s="5" t="inlineStr">
        <is>
          <t>Сеть</t>
        </is>
      </c>
      <c r="B13" s="5" t="inlineStr">
        <is>
          <t>Выручка 2025, млрд ₽</t>
        </is>
      </c>
      <c r="C13" s="5" t="inlineStr">
        <is>
          <t>Прибыль 2025, млрд ₽</t>
        </is>
      </c>
      <c r="E13" s="5" t="inlineStr">
        <is>
          <t>Производитель</t>
        </is>
      </c>
      <c r="F13" s="5" t="inlineStr">
        <is>
          <t>Выручка 2025, млрд ₽</t>
        </is>
      </c>
    </row>
    <row r="14">
      <c r="A14" t="inlineStr">
        <is>
          <t>X5</t>
        </is>
      </c>
      <c r="B14" s="6" t="n">
        <v>4642</v>
      </c>
      <c r="C14" s="7" t="n">
        <v>94.8</v>
      </c>
      <c r="E14" t="inlineStr">
        <is>
          <t>PepsiCo РФ</t>
        </is>
      </c>
      <c r="F14" s="6" t="n">
        <v>399</v>
      </c>
    </row>
    <row r="15">
      <c r="A15" t="inlineStr">
        <is>
          <t>Магнит</t>
        </is>
      </c>
      <c r="B15" s="6" t="n">
        <v>3509</v>
      </c>
      <c r="C15" s="7" t="n">
        <v>-16.6</v>
      </c>
      <c r="E15" t="inlineStr">
        <is>
          <t>Русагро</t>
        </is>
      </c>
      <c r="F15" s="6" t="n">
        <v>397</v>
      </c>
    </row>
    <row r="16">
      <c r="A16" t="inlineStr">
        <is>
          <t>Mercury</t>
        </is>
      </c>
      <c r="B16" s="6" t="n">
        <v>1660</v>
      </c>
      <c r="C16" s="7" t="n">
        <v>54.5</v>
      </c>
      <c r="E16" t="inlineStr">
        <is>
          <t>ЭФКО</t>
        </is>
      </c>
      <c r="F16" s="6" t="n">
        <v>344</v>
      </c>
    </row>
    <row r="17">
      <c r="A17" t="inlineStr">
        <is>
          <t>Лента</t>
        </is>
      </c>
      <c r="B17" s="6" t="n">
        <v>1104</v>
      </c>
      <c r="C17" s="7" t="n">
        <v>38.2</v>
      </c>
      <c r="E17" t="inlineStr">
        <is>
          <t>Мираторг</t>
        </is>
      </c>
      <c r="F17" s="6" t="n">
        <v>342</v>
      </c>
    </row>
    <row r="18">
      <c r="A18" t="inlineStr">
        <is>
          <t>Светофор</t>
        </is>
      </c>
      <c r="B18" s="6" t="n">
        <v>394</v>
      </c>
      <c r="C18" s="7" t="n">
        <v>5.8</v>
      </c>
      <c r="E18" t="inlineStr">
        <is>
          <t>KDV</t>
        </is>
      </c>
      <c r="F18" s="6" t="n">
        <v>308</v>
      </c>
    </row>
    <row r="19">
      <c r="A19" t="inlineStr">
        <is>
          <t>ВкусВилл</t>
        </is>
      </c>
      <c r="B19" s="6" t="n">
        <v>359</v>
      </c>
      <c r="C19" s="7" t="n">
        <v>6.6</v>
      </c>
      <c r="E19" t="inlineStr">
        <is>
          <t>Черкизово</t>
        </is>
      </c>
      <c r="F19" s="6" t="n">
        <v>289</v>
      </c>
    </row>
    <row r="20">
      <c r="A20" t="inlineStr">
        <is>
          <t>Fix Price</t>
        </is>
      </c>
      <c r="B20" s="6" t="n">
        <v>313</v>
      </c>
      <c r="C20" s="7" t="n">
        <v>11.2</v>
      </c>
      <c r="E20" t="inlineStr">
        <is>
          <t>Ресурс</t>
        </is>
      </c>
      <c r="F20" s="6" t="n">
        <v>288</v>
      </c>
    </row>
    <row r="21">
      <c r="A21" t="inlineStr">
        <is>
          <t>METRO</t>
        </is>
      </c>
      <c r="B21" s="6" t="n">
        <v>260</v>
      </c>
      <c r="C21" s="7" t="n">
        <v>4.4</v>
      </c>
      <c r="E21" t="inlineStr">
        <is>
          <t>Nestlé РФ</t>
        </is>
      </c>
      <c r="F21" s="6" t="n">
        <v>258</v>
      </c>
    </row>
    <row r="22">
      <c r="A22" t="inlineStr">
        <is>
          <t>Ашан</t>
        </is>
      </c>
      <c r="B22" s="6" t="n">
        <v>250</v>
      </c>
      <c r="C22" t="inlineStr">
        <is>
          <t>н/д</t>
        </is>
      </c>
      <c r="E22" t="inlineStr">
        <is>
          <t>Mars</t>
        </is>
      </c>
      <c r="F22" s="6" t="n">
        <v>235</v>
      </c>
    </row>
    <row r="23">
      <c r="A23" t="inlineStr">
        <is>
          <t>О'КЕЙ</t>
        </is>
      </c>
      <c r="B23" s="6" t="n">
        <v>196</v>
      </c>
      <c r="C23" s="7" t="n">
        <v>14.3</v>
      </c>
      <c r="E23" t="inlineStr">
        <is>
          <t>Агропромкомплектация</t>
        </is>
      </c>
      <c r="F23" s="6" t="n">
        <v>204</v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2" customWidth="1" min="2" max="2"/>
    <col width="16" customWidth="1" min="3" max="3"/>
    <col width="10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36" customHeight="1">
      <c r="A1" s="8" t="inlineStr">
        <is>
          <t>Компания</t>
        </is>
      </c>
      <c r="B1" s="8" t="inlineStr">
        <is>
          <t>Тип / формат</t>
        </is>
      </c>
      <c r="C1" s="8" t="inlineStr">
        <is>
          <t>Выручка 2025, млрд ₽</t>
        </is>
      </c>
      <c r="D1" s="8" t="inlineStr">
        <is>
          <t>YoY, %</t>
        </is>
      </c>
      <c r="E1" s="8" t="inlineStr">
        <is>
          <t>Чистая прибыль 2025, млрд ₽</t>
        </is>
      </c>
      <c r="F1" s="8" t="inlineStr">
        <is>
          <t>Чистый долг, млрд ₽</t>
        </is>
      </c>
      <c r="G1" s="8" t="inlineStr">
        <is>
          <t>Магазины / заводы, шт</t>
        </is>
      </c>
      <c r="H1" s="8" t="inlineStr">
        <is>
          <t>Доля рынка Food, %</t>
        </is>
      </c>
    </row>
    <row r="2" ht="36" customHeight="1">
      <c r="A2" s="9" t="inlineStr">
        <is>
          <t>X5 Group (Пятёрочка, Перекрёсток, Чижик)</t>
        </is>
      </c>
      <c r="B2" s="9" t="inlineStr">
        <is>
          <t>у дома / супер / хард-дискаунтер / e-grocery</t>
        </is>
      </c>
      <c r="C2" s="10" t="n">
        <v>4642</v>
      </c>
      <c r="D2" s="11" t="n">
        <v>18.8</v>
      </c>
      <c r="E2" s="10" t="n">
        <v>94.8</v>
      </c>
      <c r="F2" s="10" t="n">
        <v>228.5</v>
      </c>
      <c r="G2" s="12" t="n">
        <v>29790</v>
      </c>
      <c r="H2" s="11" t="n">
        <v>16.6</v>
      </c>
    </row>
    <row r="3" ht="36" customHeight="1">
      <c r="A3" s="13" t="inlineStr">
        <is>
          <t>Магнит (вкл. Дикси, Самбери, Азбука вкуса)</t>
        </is>
      </c>
      <c r="B3" s="13" t="inlineStr">
        <is>
          <t>у дома / супер / гипер / косметик / e-com</t>
        </is>
      </c>
      <c r="C3" s="14" t="n">
        <v>3509.2</v>
      </c>
      <c r="D3" s="15" t="n">
        <v>15.3</v>
      </c>
      <c r="E3" s="14" t="n">
        <v>-16.6</v>
      </c>
      <c r="F3" s="14" t="n">
        <v>496</v>
      </c>
      <c r="G3" s="16" t="n">
        <v>33440</v>
      </c>
      <c r="H3" s="15" t="n">
        <v>12.3</v>
      </c>
    </row>
    <row r="4" ht="36" customHeight="1">
      <c r="A4" s="9" t="inlineStr">
        <is>
          <t>Mercury Retail (Красное &amp; Белое, Бристоль)</t>
        </is>
      </c>
      <c r="B4" s="9" t="inlineStr">
        <is>
          <t>алкоголь / у дома</t>
        </is>
      </c>
      <c r="C4" s="10" t="n">
        <v>1660</v>
      </c>
      <c r="D4" s="11" t="n">
        <v>20</v>
      </c>
      <c r="E4" s="10" t="n">
        <v>54.5</v>
      </c>
      <c r="F4" s="17" t="inlineStr">
        <is>
          <t>н/д</t>
        </is>
      </c>
      <c r="G4" s="12" t="n">
        <v>28000</v>
      </c>
      <c r="H4" s="17" t="inlineStr">
        <is>
          <t>н/д</t>
        </is>
      </c>
    </row>
    <row r="5" ht="36" customHeight="1">
      <c r="A5" s="13" t="inlineStr">
        <is>
          <t>Группа Лента (Гипер/Супер Лента, Монетка, Улыбка радуги, Реми)</t>
        </is>
      </c>
      <c r="B5" s="13" t="inlineStr">
        <is>
          <t>гипер / супер / у дома / дрогери</t>
        </is>
      </c>
      <c r="C5" s="14" t="n">
        <v>1103.7</v>
      </c>
      <c r="D5" s="15" t="n">
        <v>24.2</v>
      </c>
      <c r="E5" s="14" t="n">
        <v>38.2</v>
      </c>
      <c r="F5" s="14" t="n">
        <v>48.8</v>
      </c>
      <c r="G5" s="16" t="n">
        <v>6760</v>
      </c>
      <c r="H5" s="18" t="inlineStr">
        <is>
          <t>н/д</t>
        </is>
      </c>
    </row>
    <row r="6" ht="36" customHeight="1">
      <c r="A6" s="9" t="inlineStr">
        <is>
          <t>Светофор / Маяк (ГК Торгсервис)</t>
        </is>
      </c>
      <c r="B6" s="9" t="inlineStr">
        <is>
          <t>хард-дискаунтер</t>
        </is>
      </c>
      <c r="C6" s="10" t="n">
        <v>394.43</v>
      </c>
      <c r="D6" s="11" t="n">
        <v>-3</v>
      </c>
      <c r="E6" s="10" t="n">
        <v>5.8</v>
      </c>
      <c r="F6" s="17" t="inlineStr">
        <is>
          <t>н/д</t>
        </is>
      </c>
      <c r="G6" s="12" t="n">
        <v>2405</v>
      </c>
      <c r="H6" s="17" t="inlineStr">
        <is>
          <t>н/д</t>
        </is>
      </c>
    </row>
    <row r="7" ht="36" customHeight="1">
      <c r="A7" s="13" t="inlineStr">
        <is>
          <t>ВкусВилл</t>
        </is>
      </c>
      <c r="B7" s="13" t="inlineStr">
        <is>
          <t>у дома / dark store / e-grocery</t>
        </is>
      </c>
      <c r="C7" s="14" t="n">
        <v>358.6</v>
      </c>
      <c r="D7" s="15" t="n">
        <v>9.699999999999999</v>
      </c>
      <c r="E7" s="14" t="n">
        <v>6.6</v>
      </c>
      <c r="F7" s="18" t="inlineStr">
        <is>
          <t>н/д</t>
        </is>
      </c>
      <c r="G7" s="16" t="n">
        <v>1973</v>
      </c>
      <c r="H7" s="18" t="inlineStr">
        <is>
          <t>н/д</t>
        </is>
      </c>
    </row>
    <row r="8" ht="36" customHeight="1">
      <c r="A8" s="9" t="inlineStr">
        <is>
          <t>Fix Price</t>
        </is>
      </c>
      <c r="B8" s="9" t="inlineStr">
        <is>
          <t>value-ритейл, смешанный FMCG</t>
        </is>
      </c>
      <c r="C8" s="10" t="n">
        <v>313.3</v>
      </c>
      <c r="D8" s="11" t="n">
        <v>4.3</v>
      </c>
      <c r="E8" s="10" t="n">
        <v>11.18</v>
      </c>
      <c r="F8" s="17" t="inlineStr">
        <is>
          <t>н/д</t>
        </is>
      </c>
      <c r="G8" s="12" t="n">
        <v>7818</v>
      </c>
      <c r="H8" s="17" t="inlineStr">
        <is>
          <t>н/д</t>
        </is>
      </c>
    </row>
    <row r="9" ht="36" customHeight="1">
      <c r="A9" s="13" t="inlineStr">
        <is>
          <t>Самокат</t>
        </is>
      </c>
      <c r="B9" s="13" t="inlineStr">
        <is>
          <t>e-grocery / dark store</t>
        </is>
      </c>
      <c r="C9" s="14" t="n">
        <v>279.3</v>
      </c>
      <c r="D9" s="15" t="n">
        <v>12.3</v>
      </c>
      <c r="E9" s="18" t="inlineStr">
        <is>
          <t>н/д</t>
        </is>
      </c>
      <c r="F9" s="18" t="inlineStr">
        <is>
          <t>н/д</t>
        </is>
      </c>
      <c r="G9" s="16" t="n">
        <v>2400</v>
      </c>
      <c r="H9" s="18" t="inlineStr">
        <is>
          <t>н/д</t>
        </is>
      </c>
    </row>
    <row r="10" ht="36" customHeight="1">
      <c r="A10" s="9" t="inlineStr">
        <is>
          <t>METRO Россия</t>
        </is>
      </c>
      <c r="B10" s="9" t="inlineStr">
        <is>
          <t>cash&amp;carry / гипер</t>
        </is>
      </c>
      <c r="C10" s="10" t="n">
        <v>260.3</v>
      </c>
      <c r="D10" s="11" t="n">
        <v>5</v>
      </c>
      <c r="E10" s="10" t="n">
        <v>4.4</v>
      </c>
      <c r="F10" s="17" t="inlineStr">
        <is>
          <t>н/д</t>
        </is>
      </c>
      <c r="G10" s="12" t="n">
        <v>91</v>
      </c>
      <c r="H10" s="17" t="inlineStr">
        <is>
          <t>н/д</t>
        </is>
      </c>
    </row>
    <row r="11" ht="36" customHeight="1">
      <c r="A11" s="13" t="inlineStr">
        <is>
          <t>АШАН Ритейл Россия</t>
        </is>
      </c>
      <c r="B11" s="13" t="inlineStr">
        <is>
          <t>гипер / супер</t>
        </is>
      </c>
      <c r="C11" s="14" t="n">
        <v>250</v>
      </c>
      <c r="D11" s="15" t="n">
        <v>-10</v>
      </c>
      <c r="E11" s="18" t="inlineStr">
        <is>
          <t>н/д</t>
        </is>
      </c>
      <c r="F11" s="18" t="inlineStr">
        <is>
          <t>н/д</t>
        </is>
      </c>
      <c r="G11" s="16" t="n">
        <v>231</v>
      </c>
      <c r="H11" s="18" t="inlineStr">
        <is>
          <t>н/д</t>
        </is>
      </c>
    </row>
    <row r="12" ht="36" customHeight="1">
      <c r="A12" s="9" t="inlineStr">
        <is>
          <t>Ozon + Ozon Fresh</t>
        </is>
      </c>
      <c r="B12" s="9" t="inlineStr">
        <is>
          <t>e-grocery / маркетплейс</t>
        </is>
      </c>
      <c r="C12" s="10" t="n">
        <v>207.2</v>
      </c>
      <c r="D12" s="11" t="n">
        <v>61.1</v>
      </c>
      <c r="E12" s="17" t="inlineStr">
        <is>
          <t>н/д</t>
        </is>
      </c>
      <c r="F12" s="17" t="inlineStr">
        <is>
          <t>н/д</t>
        </is>
      </c>
      <c r="G12" s="17" t="inlineStr">
        <is>
          <t>н/д</t>
        </is>
      </c>
      <c r="H12" s="17" t="inlineStr">
        <is>
          <t>н/д</t>
        </is>
      </c>
    </row>
    <row r="13" ht="36" customHeight="1">
      <c r="A13" s="13" t="inlineStr">
        <is>
          <t>Яндекс Лавка</t>
        </is>
      </c>
      <c r="B13" s="13" t="inlineStr">
        <is>
          <t>e-grocery / dark store</t>
        </is>
      </c>
      <c r="C13" s="14" t="n">
        <v>203.1</v>
      </c>
      <c r="D13" s="15" t="n">
        <v>42.4</v>
      </c>
      <c r="E13" s="18" t="inlineStr">
        <is>
          <t>н/д</t>
        </is>
      </c>
      <c r="F13" s="18" t="inlineStr">
        <is>
          <t>н/д</t>
        </is>
      </c>
      <c r="G13" s="16" t="n">
        <v>716</v>
      </c>
      <c r="H13" s="18" t="inlineStr">
        <is>
          <t>н/д</t>
        </is>
      </c>
    </row>
    <row r="14" ht="36" customHeight="1">
      <c r="A14" s="9" t="inlineStr">
        <is>
          <t>ГК О'КЕЙ / Да!</t>
        </is>
      </c>
      <c r="B14" s="9" t="inlineStr">
        <is>
          <t>гипер продан / дискаунтер Да!</t>
        </is>
      </c>
      <c r="C14" s="10" t="n">
        <v>196</v>
      </c>
      <c r="D14" s="11" t="n">
        <v>-11</v>
      </c>
      <c r="E14" s="10" t="n">
        <v>14.3</v>
      </c>
      <c r="F14" s="17" t="inlineStr">
        <is>
          <t>н/д</t>
        </is>
      </c>
      <c r="G14" s="17" t="inlineStr">
        <is>
          <t>н/д</t>
        </is>
      </c>
      <c r="H14" s="17" t="inlineStr">
        <is>
          <t>н/д</t>
        </is>
      </c>
    </row>
    <row r="15" ht="36" customHeight="1">
      <c r="A15" s="13" t="inlineStr">
        <is>
          <t>ТС Победа / Гулливер / Народный амбар (ТК Лето)</t>
        </is>
      </c>
      <c r="B15" s="13" t="inlineStr">
        <is>
          <t>у дома / супер, Поволжье</t>
        </is>
      </c>
      <c r="C15" s="14" t="n">
        <v>176</v>
      </c>
      <c r="D15" s="15" t="n">
        <v>26</v>
      </c>
      <c r="E15" s="19" t="n">
        <v>0.2</v>
      </c>
      <c r="F15" s="18" t="inlineStr">
        <is>
          <t>н/д</t>
        </is>
      </c>
      <c r="G15" s="18" t="inlineStr">
        <is>
          <t>н/д</t>
        </is>
      </c>
      <c r="H15" s="18" t="inlineStr">
        <is>
          <t>н/д</t>
        </is>
      </c>
    </row>
    <row r="16" ht="36" customHeight="1">
      <c r="A16" s="9" t="inlineStr">
        <is>
          <t>Ярче! (Камелот-А, Томск)</t>
        </is>
      </c>
      <c r="B16" s="9" t="inlineStr">
        <is>
          <t>у дома / супер, Сибирь</t>
        </is>
      </c>
      <c r="C16" s="10" t="n">
        <v>168.3</v>
      </c>
      <c r="D16" s="11" t="n">
        <v>28</v>
      </c>
      <c r="E16" s="10" t="n">
        <v>-4</v>
      </c>
      <c r="F16" s="17" t="inlineStr">
        <is>
          <t>н/д</t>
        </is>
      </c>
      <c r="G16" s="17" t="inlineStr">
        <is>
          <t>н/д</t>
        </is>
      </c>
      <c r="H16" s="17" t="inlineStr">
        <is>
          <t>н/д</t>
        </is>
      </c>
    </row>
    <row r="17" ht="36" customHeight="1">
      <c r="A17" s="13" t="inlineStr">
        <is>
          <t>Гиперглобус (Globus)</t>
        </is>
      </c>
      <c r="B17" s="13" t="inlineStr">
        <is>
          <t>гипер</t>
        </is>
      </c>
      <c r="C17" s="14" t="n">
        <v>165.6</v>
      </c>
      <c r="D17" s="15" t="n">
        <v>5.4</v>
      </c>
      <c r="E17" s="14" t="n">
        <v>7.4</v>
      </c>
      <c r="F17" s="18" t="inlineStr">
        <is>
          <t>н/д</t>
        </is>
      </c>
      <c r="G17" s="16" t="n">
        <v>20</v>
      </c>
      <c r="H17" s="18" t="inlineStr">
        <is>
          <t>н/д</t>
        </is>
      </c>
    </row>
    <row r="18" ht="36" customHeight="1">
      <c r="A18" s="9" t="inlineStr">
        <is>
          <t>Верный (Союз Святого Иоанна Воина)</t>
        </is>
      </c>
      <c r="B18" s="9" t="inlineStr">
        <is>
          <t>у дома, ЦФО</t>
        </is>
      </c>
      <c r="C18" s="10" t="n">
        <v>154.4</v>
      </c>
      <c r="D18" s="11" t="n">
        <v>12.7</v>
      </c>
      <c r="E18" s="20" t="n">
        <v>0.0214</v>
      </c>
      <c r="F18" s="17" t="inlineStr">
        <is>
          <t>н/д</t>
        </is>
      </c>
      <c r="G18" s="12" t="n">
        <v>1000</v>
      </c>
      <c r="H18" s="17" t="inlineStr">
        <is>
          <t>н/д</t>
        </is>
      </c>
    </row>
    <row r="19" ht="36" customHeight="1">
      <c r="A19" s="13" t="inlineStr">
        <is>
          <t>SPAR Миддл Волга (SPAR, EUROSPAR)</t>
        </is>
      </c>
      <c r="B19" s="13" t="inlineStr">
        <is>
          <t>супер / у дома</t>
        </is>
      </c>
      <c r="C19" s="14" t="n">
        <v>136.3</v>
      </c>
      <c r="D19" s="15" t="n">
        <v>6.1</v>
      </c>
      <c r="E19" s="19" t="n">
        <v>0.229</v>
      </c>
      <c r="F19" s="18" t="inlineStr">
        <is>
          <t>н/д</t>
        </is>
      </c>
      <c r="G19" s="16" t="n">
        <v>142</v>
      </c>
      <c r="H19" s="18" t="inlineStr">
        <is>
          <t>н/д</t>
        </is>
      </c>
    </row>
    <row r="20" ht="36" customHeight="1">
      <c r="A20" s="9" t="inlineStr">
        <is>
          <t>Мария-Ра (Розница К-1)</t>
        </is>
      </c>
      <c r="B20" s="9" t="inlineStr">
        <is>
          <t>у дома / супер, Сибирь</t>
        </is>
      </c>
      <c r="C20" s="10" t="n">
        <v>127.6</v>
      </c>
      <c r="D20" s="11" t="n">
        <v>6</v>
      </c>
      <c r="E20" s="10" t="n">
        <v>2.7</v>
      </c>
      <c r="F20" s="17" t="inlineStr">
        <is>
          <t>н/д</t>
        </is>
      </c>
      <c r="G20" s="12" t="n">
        <v>1303</v>
      </c>
      <c r="H20" s="17" t="inlineStr">
        <is>
          <t>н/д</t>
        </is>
      </c>
    </row>
    <row r="21" ht="36" customHeight="1">
      <c r="A21" s="13" t="inlineStr">
        <is>
          <t>Ермолино (оценка INFOLine, производство + своя розница)</t>
        </is>
      </c>
      <c r="B21" s="13" t="inlineStr">
        <is>
          <t>у дома / производство+розница</t>
        </is>
      </c>
      <c r="C21" s="14" t="n">
        <v>111.1</v>
      </c>
      <c r="D21" s="18" t="inlineStr">
        <is>
          <t>н/д</t>
        </is>
      </c>
      <c r="E21" s="18" t="inlineStr">
        <is>
          <t>н/д</t>
        </is>
      </c>
      <c r="F21" s="18" t="inlineStr">
        <is>
          <t>н/д</t>
        </is>
      </c>
      <c r="G21" s="16" t="n">
        <v>3005</v>
      </c>
      <c r="H21" s="18" t="inlineStr">
        <is>
          <t>н/д</t>
        </is>
      </c>
    </row>
    <row r="22" ht="36" customHeight="1">
      <c r="A22" s="9" t="inlineStr">
        <is>
          <t>ГК Командор (Командор, Аллея, Хороший)</t>
        </is>
      </c>
      <c r="B22" s="9" t="inlineStr">
        <is>
          <t>супер / гипер / дискаунтер, Красноярск</t>
        </is>
      </c>
      <c r="C22" s="10" t="n">
        <v>100</v>
      </c>
      <c r="D22" s="11" t="n">
        <v>12</v>
      </c>
      <c r="E22" s="10" t="n">
        <v>1.7</v>
      </c>
      <c r="F22" s="17" t="inlineStr">
        <is>
          <t>н/д</t>
        </is>
      </c>
      <c r="G22" s="12" t="n">
        <v>477</v>
      </c>
      <c r="H22" s="17" t="inlineStr">
        <is>
          <t>н/д</t>
        </is>
      </c>
    </row>
    <row r="23" ht="36" customHeight="1">
      <c r="A23" s="13" t="inlineStr">
        <is>
          <t>Винлаб (ПАО ВинЛаб / Novabev)</t>
        </is>
      </c>
      <c r="B23" s="13" t="inlineStr">
        <is>
          <t>алкоголь</t>
        </is>
      </c>
      <c r="C23" s="14" t="n">
        <v>95.09999999999999</v>
      </c>
      <c r="D23" s="15" t="n">
        <v>9</v>
      </c>
      <c r="E23" s="14" t="n">
        <v>3.5</v>
      </c>
      <c r="F23" s="14" t="n">
        <v>-6.5</v>
      </c>
      <c r="G23" s="16" t="n">
        <v>2175</v>
      </c>
      <c r="H23" s="18" t="inlineStr">
        <is>
          <t>н/д</t>
        </is>
      </c>
    </row>
    <row r="24" ht="36" customHeight="1">
      <c r="A24" s="9" t="inlineStr">
        <is>
          <t>Находка (ООО Табыш)</t>
        </is>
      </c>
      <c r="B24" s="9" t="inlineStr">
        <is>
          <t>хард-дискаунтер, Поволжье</t>
        </is>
      </c>
      <c r="C24" s="10" t="n">
        <v>81.7</v>
      </c>
      <c r="D24" s="11" t="n">
        <v>22.8</v>
      </c>
      <c r="E24" s="17" t="inlineStr">
        <is>
          <t>н/д</t>
        </is>
      </c>
      <c r="F24" s="17" t="inlineStr">
        <is>
          <t>н/д</t>
        </is>
      </c>
      <c r="G24" s="12" t="n">
        <v>370</v>
      </c>
      <c r="H24" s="17" t="inlineStr">
        <is>
          <t>н/д</t>
        </is>
      </c>
    </row>
    <row r="25" ht="36" customHeight="1">
      <c r="A25" s="13" t="inlineStr">
        <is>
          <t>Семишагофф (ООО ТК Прогресс)</t>
        </is>
      </c>
      <c r="B25" s="13" t="inlineStr">
        <is>
          <t>хард-дискаунтер, СЗФО</t>
        </is>
      </c>
      <c r="C25" s="14" t="n">
        <v>70.67</v>
      </c>
      <c r="D25" s="15" t="n">
        <v>29</v>
      </c>
      <c r="E25" s="19" t="n">
        <v>0.954</v>
      </c>
      <c r="F25" s="18" t="inlineStr">
        <is>
          <t>н/д</t>
        </is>
      </c>
      <c r="G25" s="16" t="n">
        <v>188</v>
      </c>
      <c r="H25" s="18" t="inlineStr">
        <is>
          <t>н/д</t>
        </is>
      </c>
    </row>
    <row r="26" ht="36" customHeight="1">
      <c r="A26" s="9" t="inlineStr">
        <is>
          <t>Авокадо (франшиза ГК Сладкая жизнь)</t>
        </is>
      </c>
      <c r="B26" s="9" t="inlineStr">
        <is>
          <t>франчайзи у дома</t>
        </is>
      </c>
      <c r="C26" s="10" t="n">
        <v>65.69</v>
      </c>
      <c r="D26" s="11" t="n">
        <v>4.7</v>
      </c>
      <c r="E26" s="17" t="inlineStr">
        <is>
          <t>н/д</t>
        </is>
      </c>
      <c r="F26" s="17" t="inlineStr">
        <is>
          <t>н/д</t>
        </is>
      </c>
      <c r="G26" s="17" t="inlineStr">
        <is>
          <t>н/д</t>
        </is>
      </c>
      <c r="H26" s="17" t="inlineStr">
        <is>
          <t>н/д</t>
        </is>
      </c>
    </row>
    <row r="27" ht="36" customHeight="1">
      <c r="A27" s="13" t="inlineStr">
        <is>
          <t>Линия (ООО Гипермаркет Линия / Гринн)</t>
        </is>
      </c>
      <c r="B27" s="13" t="inlineStr">
        <is>
          <t>гипер, Черноземье</t>
        </is>
      </c>
      <c r="C27" s="14" t="n">
        <v>44</v>
      </c>
      <c r="D27" s="15" t="n">
        <v>6.7</v>
      </c>
      <c r="E27" s="14" t="n">
        <v>2.41</v>
      </c>
      <c r="F27" s="18" t="inlineStr">
        <is>
          <t>н/д</t>
        </is>
      </c>
      <c r="G27" s="16" t="n">
        <v>18</v>
      </c>
      <c r="H27" s="18" t="inlineStr">
        <is>
          <t>н/д</t>
        </is>
      </c>
    </row>
    <row r="28" ht="36" customHeight="1">
      <c r="A28" s="9" t="inlineStr">
        <is>
          <t>Лама (SPAR / Первоцен / F City; сумма 4 юрлиц)</t>
        </is>
      </c>
      <c r="B28" s="9" t="inlineStr">
        <is>
          <t>супер / у дома, Томск–Новосибирск</t>
        </is>
      </c>
      <c r="C28" s="10" t="n">
        <v>32.31</v>
      </c>
      <c r="D28" s="11" t="n">
        <v>8.5</v>
      </c>
      <c r="E28" s="20" t="n">
        <v>0.335</v>
      </c>
      <c r="F28" s="17" t="inlineStr">
        <is>
          <t>н/д</t>
        </is>
      </c>
      <c r="G28" s="17" t="inlineStr">
        <is>
          <t>н/д</t>
        </is>
      </c>
      <c r="H28" s="17" t="inlineStr">
        <is>
          <t>н/д</t>
        </is>
      </c>
    </row>
    <row r="29" ht="36" customHeight="1">
      <c r="A29" s="13" t="inlineStr">
        <is>
          <t>Аникс (ТС Аникс + Прайд-А)</t>
        </is>
      </c>
      <c r="B29" s="13" t="inlineStr">
        <is>
          <t>у дома, Алтай</t>
        </is>
      </c>
      <c r="C29" s="14" t="n">
        <v>31.3</v>
      </c>
      <c r="D29" s="15" t="n">
        <v>9.4</v>
      </c>
      <c r="E29" s="19" t="n">
        <v>0.414</v>
      </c>
      <c r="F29" s="18" t="inlineStr">
        <is>
          <t>н/д</t>
        </is>
      </c>
      <c r="G29" s="18" t="inlineStr">
        <is>
          <t>н/д</t>
        </is>
      </c>
      <c r="H29" s="18" t="inlineStr">
        <is>
          <t>н/д</t>
        </is>
      </c>
    </row>
    <row r="30" ht="36" customHeight="1">
      <c r="A30" s="9" t="inlineStr">
        <is>
          <t>Европа (ООО Европа, Курск)</t>
        </is>
      </c>
      <c r="B30" s="9" t="inlineStr">
        <is>
          <t>гипер / супер, Черноземье</t>
        </is>
      </c>
      <c r="C30" s="10" t="n">
        <v>31</v>
      </c>
      <c r="D30" s="11" t="n">
        <v>3</v>
      </c>
      <c r="E30" s="10" t="n">
        <v>1.1</v>
      </c>
      <c r="F30" s="17" t="inlineStr">
        <is>
          <t>н/д</t>
        </is>
      </c>
      <c r="G30" s="17" t="inlineStr">
        <is>
          <t>н/д</t>
        </is>
      </c>
      <c r="H30" s="17" t="inlineStr">
        <is>
          <t>н/д</t>
        </is>
      </c>
    </row>
    <row r="31" ht="36" customHeight="1">
      <c r="A31" s="13" t="inlineStr">
        <is>
          <t>Бегемаг (ООО Универсамы Бегемаг)</t>
        </is>
      </c>
      <c r="B31" s="13" t="inlineStr">
        <is>
          <t>у дома / SPAR, Кузбасс</t>
        </is>
      </c>
      <c r="C31" s="14" t="n">
        <v>12.87</v>
      </c>
      <c r="D31" s="15" t="n">
        <v>1.3</v>
      </c>
      <c r="E31" s="19" t="n">
        <v>0.0653</v>
      </c>
      <c r="F31" s="18" t="inlineStr">
        <is>
          <t>н/д</t>
        </is>
      </c>
      <c r="G31" s="18" t="inlineStr">
        <is>
          <t>н/д</t>
        </is>
      </c>
      <c r="H31" s="18" t="inlineStr">
        <is>
          <t>н/д</t>
        </is>
      </c>
    </row>
    <row r="32" ht="36" customHeight="1">
      <c r="A32" s="9" t="inlineStr">
        <is>
          <t>Низкоцен (ООО Холлифуд)</t>
        </is>
      </c>
      <c r="B32" s="9" t="inlineStr">
        <is>
          <t>хард-дискаунтер, Сибирь/Урал</t>
        </is>
      </c>
      <c r="C32" s="10" t="n">
        <v>9.5</v>
      </c>
      <c r="D32" s="11" t="n">
        <v>-2</v>
      </c>
      <c r="E32" s="20" t="n">
        <v>0.0613</v>
      </c>
      <c r="F32" s="17" t="inlineStr">
        <is>
          <t>н/д</t>
        </is>
      </c>
      <c r="G32" s="17" t="inlineStr">
        <is>
          <t>н/д</t>
        </is>
      </c>
      <c r="H32" s="17" t="inlineStr">
        <is>
          <t>н/д</t>
        </is>
      </c>
    </row>
    <row r="33" ht="36" customHeight="1">
      <c r="A33" s="13" t="inlineStr">
        <is>
          <t>Победа Омск (ООО Формат; не ТК Лето)</t>
        </is>
      </c>
      <c r="B33" s="13" t="inlineStr">
        <is>
          <t>у дома / дискаунтер, Омск</t>
        </is>
      </c>
      <c r="C33" s="14" t="n">
        <v>8</v>
      </c>
      <c r="D33" s="18" t="inlineStr">
        <is>
          <t>н/д</t>
        </is>
      </c>
      <c r="E33" s="19" t="n">
        <v>0.202</v>
      </c>
      <c r="F33" s="18" t="inlineStr">
        <is>
          <t>н/д</t>
        </is>
      </c>
      <c r="G33" s="18" t="inlineStr">
        <is>
          <t>н/д</t>
        </is>
      </c>
      <c r="H33" s="18" t="inlineStr">
        <is>
          <t>н/д</t>
        </is>
      </c>
    </row>
    <row r="34" ht="36" customHeight="1">
      <c r="A34" s="9" t="inlineStr">
        <is>
          <t>Доброцен (одно юрлицо, не вся сеть)</t>
        </is>
      </c>
      <c r="B34" s="9" t="inlineStr">
        <is>
          <t>хард-дискаунтер</t>
        </is>
      </c>
      <c r="C34" s="10" t="n">
        <v>6.3</v>
      </c>
      <c r="D34" s="11" t="n">
        <v>-26</v>
      </c>
      <c r="E34" s="20" t="n">
        <v>-0.013</v>
      </c>
      <c r="F34" s="17" t="inlineStr">
        <is>
          <t>н/д</t>
        </is>
      </c>
      <c r="G34" s="17" t="inlineStr">
        <is>
          <t>н/д</t>
        </is>
      </c>
      <c r="H34" s="17" t="inlineStr">
        <is>
          <t>н/д</t>
        </is>
      </c>
    </row>
    <row r="35" ht="36" customHeight="1">
      <c r="A35" s="13" t="inlineStr">
        <is>
          <t>Быстроном (ООО Мегаторг)</t>
        </is>
      </c>
      <c r="B35" s="13" t="inlineStr">
        <is>
          <t>у дома, Новосибирск</t>
        </is>
      </c>
      <c r="C35" s="14" t="n">
        <v>4.9</v>
      </c>
      <c r="D35" s="15" t="n">
        <v>4</v>
      </c>
      <c r="E35" s="19" t="n">
        <v>0.0063</v>
      </c>
      <c r="F35" s="18" t="inlineStr">
        <is>
          <t>н/д</t>
        </is>
      </c>
      <c r="G35" s="18" t="inlineStr">
        <is>
          <t>н/д</t>
        </is>
      </c>
      <c r="H35" s="18" t="inlineStr">
        <is>
          <t>н/д</t>
        </is>
      </c>
    </row>
    <row r="36" ht="36" customHeight="1">
      <c r="A36" s="9" t="inlineStr">
        <is>
          <t>Бахетле (ООО Бахетле-1, Татарстан)</t>
        </is>
      </c>
      <c r="B36" s="9" t="inlineStr">
        <is>
          <t>супер, Татарстан</t>
        </is>
      </c>
      <c r="C36" s="10" t="n">
        <v>4.64</v>
      </c>
      <c r="D36" s="11" t="n">
        <v>0.1</v>
      </c>
      <c r="E36" s="20" t="n">
        <v>0.0097</v>
      </c>
      <c r="F36" s="17" t="inlineStr">
        <is>
          <t>н/д</t>
        </is>
      </c>
      <c r="G36" s="17" t="inlineStr">
        <is>
          <t>н/д</t>
        </is>
      </c>
      <c r="H36" s="17" t="inlineStr">
        <is>
          <t>н/д</t>
        </is>
      </c>
    </row>
    <row r="37" ht="36" customHeight="1">
      <c r="A37" s="13" t="inlineStr">
        <is>
          <t>Бахетле Новосибирск (ООО Гастромаркет)</t>
        </is>
      </c>
      <c r="B37" s="13" t="inlineStr">
        <is>
          <t>супер, Новосибирск</t>
        </is>
      </c>
      <c r="C37" s="14" t="n">
        <v>3.4</v>
      </c>
      <c r="D37" s="15" t="n">
        <v>-5</v>
      </c>
      <c r="E37" s="19" t="n">
        <v>4.5e-05</v>
      </c>
      <c r="F37" s="18" t="inlineStr">
        <is>
          <t>н/д</t>
        </is>
      </c>
      <c r="G37" s="18" t="inlineStr">
        <is>
          <t>н/д</t>
        </is>
      </c>
      <c r="H37" s="18" t="inlineStr">
        <is>
          <t>н/д</t>
        </is>
      </c>
    </row>
    <row r="38" ht="36" customHeight="1">
      <c r="A38" s="9" t="inlineStr">
        <is>
          <t>Макси (юрлицо, Вологда)</t>
        </is>
      </c>
      <c r="B38" s="9" t="inlineStr">
        <is>
          <t>гипер / супер, СЗФО</t>
        </is>
      </c>
      <c r="C38" s="10" t="n">
        <v>2.42</v>
      </c>
      <c r="D38" s="11" t="n">
        <v>19.1</v>
      </c>
      <c r="E38" s="20" t="n">
        <v>-0.008399999999999999</v>
      </c>
      <c r="F38" s="17" t="inlineStr">
        <is>
          <t>н/д</t>
        </is>
      </c>
      <c r="G38" s="17" t="inlineStr">
        <is>
          <t>н/д</t>
        </is>
      </c>
      <c r="H38" s="17" t="inlineStr">
        <is>
          <t>н/д</t>
        </is>
      </c>
    </row>
    <row r="39" ht="36" customHeight="1">
      <c r="A39" s="13" t="inlineStr">
        <is>
          <t>Добрянка (ООО Русская поварня)</t>
        </is>
      </c>
      <c r="B39" s="13" t="inlineStr">
        <is>
          <t>супер, регионы</t>
        </is>
      </c>
      <c r="C39" s="14" t="n">
        <v>2.4</v>
      </c>
      <c r="D39" s="18" t="inlineStr">
        <is>
          <t>н/д</t>
        </is>
      </c>
      <c r="E39" s="19" t="n">
        <v>0.0011</v>
      </c>
      <c r="F39" s="18" t="inlineStr">
        <is>
          <t>н/д</t>
        </is>
      </c>
      <c r="G39" s="18" t="inlineStr">
        <is>
          <t>н/д</t>
        </is>
      </c>
      <c r="H39" s="18" t="inlineStr">
        <is>
          <t>н/д</t>
        </is>
      </c>
    </row>
    <row r="40" ht="36" customHeight="1">
      <c r="A40" s="9" t="inlineStr">
        <is>
          <t>Форне (ООО Форне Кондитер)</t>
        </is>
      </c>
      <c r="B40" s="9" t="inlineStr">
        <is>
          <t>кондитерская розница, Бийск</t>
        </is>
      </c>
      <c r="C40" s="20" t="n">
        <v>0.93</v>
      </c>
      <c r="D40" s="11" t="n">
        <v>14</v>
      </c>
      <c r="E40" s="20" t="n">
        <v>0.0819</v>
      </c>
      <c r="F40" s="17" t="inlineStr">
        <is>
          <t>н/д</t>
        </is>
      </c>
      <c r="G40" s="17" t="inlineStr">
        <is>
          <t>н/д</t>
        </is>
      </c>
      <c r="H40" s="17" t="inlineStr">
        <is>
          <t>н/д</t>
        </is>
      </c>
    </row>
    <row r="41" ht="36" customHeight="1">
      <c r="A41" s="21" t="inlineStr">
        <is>
          <t>Пятёрочка (бренд X5)</t>
        </is>
      </c>
      <c r="B41" s="21" t="inlineStr">
        <is>
          <t>у дома; внутри X5, не суммировать</t>
        </is>
      </c>
      <c r="C41" s="22" t="n">
        <v>3600</v>
      </c>
      <c r="D41" s="23" t="inlineStr">
        <is>
          <t>н/д</t>
        </is>
      </c>
      <c r="E41" s="23" t="inlineStr">
        <is>
          <t>н/д</t>
        </is>
      </c>
      <c r="F41" s="23" t="inlineStr">
        <is>
          <t>н/д</t>
        </is>
      </c>
      <c r="G41" s="23" t="inlineStr">
        <is>
          <t>н/д</t>
        </is>
      </c>
      <c r="H41" s="23" t="inlineStr">
        <is>
          <t>н/д</t>
        </is>
      </c>
    </row>
    <row r="42" ht="36" customHeight="1">
      <c r="A42" s="21" t="inlineStr">
        <is>
          <t>Красное &amp; Белое (ООО Альфа-М; внутри Mercury)</t>
        </is>
      </c>
      <c r="B42" s="21" t="inlineStr">
        <is>
          <t>алкоголь / у дома; не суммировать с Mercury</t>
        </is>
      </c>
      <c r="C42" s="22" t="n">
        <v>846.6</v>
      </c>
      <c r="D42" s="24" t="n">
        <v>33</v>
      </c>
      <c r="E42" s="22" t="n">
        <v>26.1</v>
      </c>
      <c r="F42" s="23" t="inlineStr">
        <is>
          <t>н/д</t>
        </is>
      </c>
      <c r="G42" s="25" t="n">
        <v>21482</v>
      </c>
      <c r="H42" s="23" t="inlineStr">
        <is>
          <t>н/д</t>
        </is>
      </c>
    </row>
    <row r="43" ht="36" customHeight="1">
      <c r="A43" s="21" t="inlineStr">
        <is>
          <t>Перекрёсток (бренд X5)</t>
        </is>
      </c>
      <c r="B43" s="21" t="inlineStr">
        <is>
          <t>супер; внутри X5, не суммировать</t>
        </is>
      </c>
      <c r="C43" s="22" t="n">
        <v>531</v>
      </c>
      <c r="D43" s="23" t="inlineStr">
        <is>
          <t>н/д</t>
        </is>
      </c>
      <c r="E43" s="23" t="inlineStr">
        <is>
          <t>н/д</t>
        </is>
      </c>
      <c r="F43" s="23" t="inlineStr">
        <is>
          <t>н/д</t>
        </is>
      </c>
      <c r="G43" s="23" t="inlineStr">
        <is>
          <t>н/д</t>
        </is>
      </c>
      <c r="H43" s="23" t="inlineStr">
        <is>
          <t>н/д</t>
        </is>
      </c>
    </row>
    <row r="44" ht="36" customHeight="1">
      <c r="A44" s="21" t="inlineStr">
        <is>
          <t>Чижик (бренд X5)</t>
        </is>
      </c>
      <c r="B44" s="21" t="inlineStr">
        <is>
          <t>хард-дискаунтер; внутри X5, не суммировать</t>
        </is>
      </c>
      <c r="C44" s="22" t="n">
        <v>417.5</v>
      </c>
      <c r="D44" s="24" t="n">
        <v>67.3</v>
      </c>
      <c r="E44" s="23" t="inlineStr">
        <is>
          <t>н/д</t>
        </is>
      </c>
      <c r="F44" s="23" t="inlineStr">
        <is>
          <t>н/д</t>
        </is>
      </c>
      <c r="G44" s="23" t="inlineStr">
        <is>
          <t>н/д</t>
        </is>
      </c>
      <c r="H44" s="23" t="inlineStr">
        <is>
          <t>н/д</t>
        </is>
      </c>
    </row>
    <row r="45" ht="36" customHeight="1">
      <c r="A45" s="21" t="inlineStr">
        <is>
          <t>Дикси (формат Магнита)</t>
        </is>
      </c>
      <c r="B45" s="21" t="inlineStr">
        <is>
          <t>у дома; внутри Магнита, не суммировать</t>
        </is>
      </c>
      <c r="C45" s="22" t="n">
        <v>376.2</v>
      </c>
      <c r="D45" s="24" t="n">
        <v>15.4</v>
      </c>
      <c r="E45" s="23" t="inlineStr">
        <is>
          <t>н/д</t>
        </is>
      </c>
      <c r="F45" s="23" t="inlineStr">
        <is>
          <t>н/д</t>
        </is>
      </c>
      <c r="G45" s="25" t="n">
        <v>2668</v>
      </c>
      <c r="H45" s="23" t="inlineStr">
        <is>
          <t>н/д</t>
        </is>
      </c>
    </row>
    <row r="46" ht="36" customHeight="1">
      <c r="A46" s="21" t="inlineStr">
        <is>
          <t>Бристоль (ООО Альбион-2002; внутри Mercury)</t>
        </is>
      </c>
      <c r="B46" s="21" t="inlineStr">
        <is>
          <t>алкоголь; не суммировать с Mercury</t>
        </is>
      </c>
      <c r="C46" s="22" t="n">
        <v>365.7</v>
      </c>
      <c r="D46" s="24" t="n">
        <v>10</v>
      </c>
      <c r="E46" s="22" t="n">
        <v>8.6</v>
      </c>
      <c r="F46" s="23" t="inlineStr">
        <is>
          <t>н/д</t>
        </is>
      </c>
      <c r="G46" s="23" t="inlineStr">
        <is>
          <t>н/д</t>
        </is>
      </c>
      <c r="H46" s="23" t="inlineStr">
        <is>
          <t>н/д</t>
        </is>
      </c>
    </row>
    <row r="47" ht="36" customHeight="1">
      <c r="A47" s="21" t="inlineStr">
        <is>
          <t>X5 онлайн (канал группы)</t>
        </is>
      </c>
      <c r="B47" s="21" t="inlineStr">
        <is>
          <t>e-grocery; внутри X5, не суммировать</t>
        </is>
      </c>
      <c r="C47" s="22" t="n">
        <v>285.7</v>
      </c>
      <c r="D47" s="24" t="n">
        <v>42.8</v>
      </c>
      <c r="E47" s="23" t="inlineStr">
        <is>
          <t>н/д</t>
        </is>
      </c>
      <c r="F47" s="23" t="inlineStr">
        <is>
          <t>н/д</t>
        </is>
      </c>
      <c r="G47" s="23" t="inlineStr">
        <is>
          <t>н/д</t>
        </is>
      </c>
      <c r="H47" s="23" t="inlineStr">
        <is>
          <t>н/д</t>
        </is>
      </c>
    </row>
    <row r="48" ht="36" customHeight="1">
      <c r="A48" s="21" t="inlineStr">
        <is>
          <t>ВкусВилл онлайн (канал сети)</t>
        </is>
      </c>
      <c r="B48" s="21" t="inlineStr">
        <is>
          <t>e-grocery; внутри ВкусВилл, не суммировать</t>
        </is>
      </c>
      <c r="C48" s="22" t="n">
        <v>221.1</v>
      </c>
      <c r="D48" s="24" t="n">
        <v>16.7</v>
      </c>
      <c r="E48" s="23" t="inlineStr">
        <is>
          <t>н/д</t>
        </is>
      </c>
      <c r="F48" s="23" t="inlineStr">
        <is>
          <t>н/д</t>
        </is>
      </c>
      <c r="G48" s="23" t="inlineStr">
        <is>
          <t>н/д</t>
        </is>
      </c>
      <c r="H48" s="23" t="inlineStr">
        <is>
          <t>н/д</t>
        </is>
      </c>
    </row>
    <row r="49" ht="36" customHeight="1">
      <c r="A49" s="21" t="inlineStr">
        <is>
          <t>Азбука вкуса (бренд Магнита с 2025)</t>
        </is>
      </c>
      <c r="B49" s="21" t="inlineStr">
        <is>
          <t>премиум супер; внутри Магнита, не суммировать</t>
        </is>
      </c>
      <c r="C49" s="22" t="n">
        <v>106.3</v>
      </c>
      <c r="D49" s="23" t="inlineStr">
        <is>
          <t>н/д</t>
        </is>
      </c>
      <c r="E49" s="23" t="inlineStr">
        <is>
          <t>н/д</t>
        </is>
      </c>
      <c r="F49" s="23" t="inlineStr">
        <is>
          <t>н/д</t>
        </is>
      </c>
      <c r="G49" s="23" t="inlineStr">
        <is>
          <t>н/д</t>
        </is>
      </c>
      <c r="H49" s="23" t="inlineStr">
        <is>
          <t>н/д</t>
        </is>
      </c>
    </row>
    <row r="50" ht="36" customHeight="1">
      <c r="A50" s="21" t="inlineStr">
        <is>
          <t>Около (франшиза X5)</t>
        </is>
      </c>
      <c r="B50" s="21" t="inlineStr">
        <is>
          <t>франчайзи у дома; внутри периметра X5, не суммировать</t>
        </is>
      </c>
      <c r="C50" s="22" t="n">
        <v>66</v>
      </c>
      <c r="D50" s="24" t="n">
        <v>680</v>
      </c>
      <c r="E50" s="23" t="inlineStr">
        <is>
          <t>н/д</t>
        </is>
      </c>
      <c r="F50" s="23" t="inlineStr">
        <is>
          <t>н/д</t>
        </is>
      </c>
      <c r="G50" s="23" t="inlineStr">
        <is>
          <t>н/д</t>
        </is>
      </c>
      <c r="H50" s="23" t="inlineStr">
        <is>
          <t>н/д</t>
        </is>
      </c>
    </row>
    <row r="51" ht="36" customHeight="1">
      <c r="A51" s="21" t="inlineStr">
        <is>
          <t>Монетка (бренд Ленты)</t>
        </is>
      </c>
      <c r="B51" s="21" t="inlineStr">
        <is>
          <t>у дома, Урал; внутри Ленты, не суммировать</t>
        </is>
      </c>
      <c r="C51" s="23" t="inlineStr">
        <is>
          <t>н/д</t>
        </is>
      </c>
      <c r="D51" s="24" t="n">
        <v>29.1</v>
      </c>
      <c r="E51" s="23" t="inlineStr">
        <is>
          <t>н/д</t>
        </is>
      </c>
      <c r="F51" s="23" t="inlineStr">
        <is>
          <t>н/д</t>
        </is>
      </c>
      <c r="G51" s="23" t="inlineStr">
        <is>
          <t>н/д</t>
        </is>
      </c>
      <c r="H51" s="23" t="inlineStr">
        <is>
          <t>н/д</t>
        </is>
      </c>
    </row>
    <row r="52" ht="36" customHeight="1">
      <c r="A52" s="21" t="inlineStr">
        <is>
          <t>Фасоль (франшиза METRO)</t>
        </is>
      </c>
      <c r="B52" s="21" t="inlineStr">
        <is>
          <t>у дома; франшиза, не консолидируется полностью</t>
        </is>
      </c>
      <c r="C52" s="23" t="inlineStr">
        <is>
          <t>н/д</t>
        </is>
      </c>
      <c r="D52" s="24" t="n">
        <v>3.8</v>
      </c>
      <c r="E52" s="23" t="inlineStr">
        <is>
          <t>н/д</t>
        </is>
      </c>
      <c r="F52" s="23" t="inlineStr">
        <is>
          <t>н/д</t>
        </is>
      </c>
      <c r="G52" s="23" t="inlineStr">
        <is>
          <t>н/д</t>
        </is>
      </c>
      <c r="H52" s="23" t="inlineStr">
        <is>
          <t>н/д</t>
        </is>
      </c>
    </row>
  </sheetData>
  <autoFilter ref="A1:H52"/>
  <conditionalFormatting sqref="E2:E52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H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2" customWidth="1" min="2" max="2"/>
    <col width="16" customWidth="1" min="3" max="3"/>
    <col width="10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36" customHeight="1">
      <c r="A1" s="8" t="inlineStr">
        <is>
          <t>Компания</t>
        </is>
      </c>
      <c r="B1" s="8" t="inlineStr">
        <is>
          <t>Тип / формат</t>
        </is>
      </c>
      <c r="C1" s="8" t="inlineStr">
        <is>
          <t>Выручка 2025, млрд ₽</t>
        </is>
      </c>
      <c r="D1" s="8" t="inlineStr">
        <is>
          <t>YoY, %</t>
        </is>
      </c>
      <c r="E1" s="8" t="inlineStr">
        <is>
          <t>Чистая прибыль 2025, млрд ₽</t>
        </is>
      </c>
      <c r="F1" s="8" t="inlineStr">
        <is>
          <t>Чистый долг, млрд ₽</t>
        </is>
      </c>
      <c r="G1" s="8" t="inlineStr">
        <is>
          <t>Магазины / заводы, шт</t>
        </is>
      </c>
      <c r="H1" s="8" t="inlineStr">
        <is>
          <t>Доля рынка Food, %</t>
        </is>
      </c>
    </row>
    <row r="2" ht="36" customHeight="1">
      <c r="A2" s="9" t="inlineStr">
        <is>
          <t>PepsiCo Россия (вкл. Вимм-Билль-Данн)</t>
        </is>
      </c>
      <c r="B2" s="9" t="inlineStr">
        <is>
          <t>напитки / снеки / молочка</t>
        </is>
      </c>
      <c r="C2" s="10" t="n">
        <v>398.8</v>
      </c>
      <c r="D2" s="11" t="n">
        <v>11.1</v>
      </c>
      <c r="E2" s="17" t="inlineStr">
        <is>
          <t>н/д</t>
        </is>
      </c>
      <c r="F2" s="17" t="inlineStr">
        <is>
          <t>н/д</t>
        </is>
      </c>
      <c r="G2" s="17" t="inlineStr">
        <is>
          <t>н/д</t>
        </is>
      </c>
      <c r="H2" s="17" t="inlineStr">
        <is>
          <t>н/д</t>
        </is>
      </c>
    </row>
    <row r="3" ht="36" customHeight="1">
      <c r="A3" s="13" t="inlineStr">
        <is>
          <t>Русагро</t>
        </is>
      </c>
      <c r="B3" s="13" t="inlineStr">
        <is>
          <t>масложир / сахар / мясо / агро</t>
        </is>
      </c>
      <c r="C3" s="14" t="n">
        <v>396.5</v>
      </c>
      <c r="D3" s="15" t="n">
        <v>16.6</v>
      </c>
      <c r="E3" s="14" t="n">
        <v>19.9</v>
      </c>
      <c r="F3" s="14" t="n">
        <v>148</v>
      </c>
      <c r="G3" s="18" t="inlineStr">
        <is>
          <t>н/д</t>
        </is>
      </c>
      <c r="H3" s="18" t="inlineStr">
        <is>
          <t>н/д</t>
        </is>
      </c>
    </row>
    <row r="4" ht="36" customHeight="1">
      <c r="A4" s="9" t="inlineStr">
        <is>
          <t>ЭФКО</t>
        </is>
      </c>
      <c r="B4" s="9" t="inlineStr">
        <is>
          <t>масложир / B2C / экспорт</t>
        </is>
      </c>
      <c r="C4" s="10" t="n">
        <v>344</v>
      </c>
      <c r="D4" s="11" t="n">
        <v>0</v>
      </c>
      <c r="E4" s="17" t="inlineStr">
        <is>
          <t>н/д</t>
        </is>
      </c>
      <c r="F4" s="17" t="inlineStr">
        <is>
          <t>н/д</t>
        </is>
      </c>
      <c r="G4" s="17" t="inlineStr">
        <is>
          <t>н/д</t>
        </is>
      </c>
      <c r="H4" s="17" t="inlineStr">
        <is>
          <t>н/д</t>
        </is>
      </c>
    </row>
    <row r="5" ht="36" customHeight="1">
      <c r="A5" s="13" t="inlineStr">
        <is>
          <t>АПХ Мираторг</t>
        </is>
      </c>
      <c r="B5" s="13" t="inlineStr">
        <is>
          <t>мясо / от поля до прилавка</t>
        </is>
      </c>
      <c r="C5" s="14" t="n">
        <v>342.2</v>
      </c>
      <c r="D5" s="15" t="n">
        <v>13.6</v>
      </c>
      <c r="E5" s="18" t="inlineStr">
        <is>
          <t>н/д</t>
        </is>
      </c>
      <c r="F5" s="18" t="inlineStr">
        <is>
          <t>н/д</t>
        </is>
      </c>
      <c r="G5" s="18" t="inlineStr">
        <is>
          <t>н/д</t>
        </is>
      </c>
      <c r="H5" s="18" t="inlineStr">
        <is>
          <t>н/д</t>
        </is>
      </c>
    </row>
    <row r="6" ht="36" customHeight="1">
      <c r="A6" s="9" t="inlineStr">
        <is>
          <t>KDV Group</t>
        </is>
      </c>
      <c r="B6" s="9" t="inlineStr">
        <is>
          <t>кондитерка / снеки</t>
        </is>
      </c>
      <c r="C6" s="10" t="n">
        <v>308.1</v>
      </c>
      <c r="D6" s="11" t="n">
        <v>1</v>
      </c>
      <c r="E6" s="17" t="inlineStr">
        <is>
          <t>н/д</t>
        </is>
      </c>
      <c r="F6" s="17" t="inlineStr">
        <is>
          <t>н/д</t>
        </is>
      </c>
      <c r="G6" s="17" t="inlineStr">
        <is>
          <t>н/д</t>
        </is>
      </c>
      <c r="H6" s="17" t="inlineStr">
        <is>
          <t>н/д</t>
        </is>
      </c>
    </row>
    <row r="7" ht="36" customHeight="1">
      <c r="A7" s="13" t="inlineStr">
        <is>
          <t>Черкизово</t>
        </is>
      </c>
      <c r="B7" s="13" t="inlineStr">
        <is>
          <t>мясо / птица / мясопереработка</t>
        </is>
      </c>
      <c r="C7" s="14" t="n">
        <v>288.7</v>
      </c>
      <c r="D7" s="15" t="n">
        <v>11.4</v>
      </c>
      <c r="E7" s="14" t="n">
        <v>30</v>
      </c>
      <c r="F7" s="14" t="n">
        <v>139.9</v>
      </c>
      <c r="G7" s="18" t="inlineStr">
        <is>
          <t>н/д</t>
        </is>
      </c>
      <c r="H7" s="18" t="inlineStr">
        <is>
          <t>н/д</t>
        </is>
      </c>
    </row>
    <row r="8" ht="36" customHeight="1">
      <c r="A8" s="9" t="inlineStr">
        <is>
          <t>ГАП Ресурс</t>
        </is>
      </c>
      <c r="B8" s="9" t="inlineStr">
        <is>
          <t>птица / мясо</t>
        </is>
      </c>
      <c r="C8" s="10" t="n">
        <v>287.5</v>
      </c>
      <c r="D8" s="11" t="n">
        <v>7.3</v>
      </c>
      <c r="E8" s="17" t="inlineStr">
        <is>
          <t>н/д</t>
        </is>
      </c>
      <c r="F8" s="17" t="inlineStr">
        <is>
          <t>н/д</t>
        </is>
      </c>
      <c r="G8" s="17" t="inlineStr">
        <is>
          <t>н/д</t>
        </is>
      </c>
      <c r="H8" s="17" t="inlineStr">
        <is>
          <t>н/д</t>
        </is>
      </c>
    </row>
    <row r="9" ht="36" customHeight="1">
      <c r="A9" s="13" t="inlineStr">
        <is>
          <t>Nestlé Россия</t>
        </is>
      </c>
      <c r="B9" s="13" t="inlineStr">
        <is>
          <t>кофе / корма / кулинария</t>
        </is>
      </c>
      <c r="C9" s="14" t="n">
        <v>257.6</v>
      </c>
      <c r="D9" s="15" t="n">
        <v>2.2</v>
      </c>
      <c r="E9" s="18" t="inlineStr">
        <is>
          <t>н/д</t>
        </is>
      </c>
      <c r="F9" s="18" t="inlineStr">
        <is>
          <t>н/д</t>
        </is>
      </c>
      <c r="G9" s="18" t="inlineStr">
        <is>
          <t>н/д</t>
        </is>
      </c>
      <c r="H9" s="18" t="inlineStr">
        <is>
          <t>н/д</t>
        </is>
      </c>
    </row>
    <row r="10" ht="36" customHeight="1">
      <c r="A10" s="9" t="inlineStr">
        <is>
          <t>Mars Россия</t>
        </is>
      </c>
      <c r="B10" s="9" t="inlineStr">
        <is>
          <t>корма / кондитерка / еда</t>
        </is>
      </c>
      <c r="C10" s="10" t="n">
        <v>235.1</v>
      </c>
      <c r="D10" s="11" t="n">
        <v>11</v>
      </c>
      <c r="E10" s="17" t="inlineStr">
        <is>
          <t>н/д</t>
        </is>
      </c>
      <c r="F10" s="17" t="inlineStr">
        <is>
          <t>н/д</t>
        </is>
      </c>
      <c r="G10" s="17" t="inlineStr">
        <is>
          <t>н/д</t>
        </is>
      </c>
      <c r="H10" s="17" t="inlineStr">
        <is>
          <t>н/д</t>
        </is>
      </c>
    </row>
    <row r="11" ht="36" customHeight="1">
      <c r="A11" s="13" t="inlineStr">
        <is>
          <t>Продимекс (сумма предприятий группы)</t>
        </is>
      </c>
      <c r="B11" s="13" t="inlineStr">
        <is>
          <t>сахар / агро; внутригрупповые обороты возможны</t>
        </is>
      </c>
      <c r="C11" s="14" t="n">
        <v>220</v>
      </c>
      <c r="D11" s="18" t="inlineStr">
        <is>
          <t>н/д</t>
        </is>
      </c>
      <c r="E11" s="14" t="n">
        <v>33</v>
      </c>
      <c r="F11" s="18" t="inlineStr">
        <is>
          <t>н/д</t>
        </is>
      </c>
      <c r="G11" s="18" t="inlineStr">
        <is>
          <t>н/д</t>
        </is>
      </c>
      <c r="H11" s="18" t="inlineStr">
        <is>
          <t>н/д</t>
        </is>
      </c>
    </row>
    <row r="12" ht="36" customHeight="1">
      <c r="A12" s="9" t="inlineStr">
        <is>
          <t>Агропромкомплектация</t>
        </is>
      </c>
      <c r="B12" s="9" t="inlineStr">
        <is>
          <t>мясо / молоко / агро</t>
        </is>
      </c>
      <c r="C12" s="10" t="n">
        <v>204.4</v>
      </c>
      <c r="D12" s="11" t="n">
        <v>15</v>
      </c>
      <c r="E12" s="17" t="inlineStr">
        <is>
          <t>н/д</t>
        </is>
      </c>
      <c r="F12" s="17" t="inlineStr">
        <is>
          <t>н/д</t>
        </is>
      </c>
      <c r="G12" s="17" t="inlineStr">
        <is>
          <t>н/д</t>
        </is>
      </c>
      <c r="H12" s="17" t="inlineStr">
        <is>
          <t>н/д</t>
        </is>
      </c>
    </row>
    <row r="13" ht="36" customHeight="1">
      <c r="A13" s="13" t="inlineStr">
        <is>
          <t>Логика молока (ex-Danone / Health&amp;Nutrition)</t>
        </is>
      </c>
      <c r="B13" s="13" t="inlineStr">
        <is>
          <t>молочка / детское питание</t>
        </is>
      </c>
      <c r="C13" s="14" t="n">
        <v>167.1</v>
      </c>
      <c r="D13" s="15" t="n">
        <v>17.9</v>
      </c>
      <c r="E13" s="18" t="inlineStr">
        <is>
          <t>н/д</t>
        </is>
      </c>
      <c r="F13" s="18" t="inlineStr">
        <is>
          <t>н/д</t>
        </is>
      </c>
      <c r="G13" s="16" t="n">
        <v>12</v>
      </c>
      <c r="H13" s="18" t="inlineStr">
        <is>
          <t>н/д</t>
        </is>
      </c>
    </row>
    <row r="14" ht="36" customHeight="1">
      <c r="A14" s="9" t="inlineStr">
        <is>
          <t>Напитки вместе (ex-AB InBev Efes)</t>
        </is>
      </c>
      <c r="B14" s="9" t="inlineStr">
        <is>
          <t>пиво / безалкогольные</t>
        </is>
      </c>
      <c r="C14" s="10" t="n">
        <v>164.7</v>
      </c>
      <c r="D14" s="11" t="n">
        <v>16.6</v>
      </c>
      <c r="E14" s="17" t="inlineStr">
        <is>
          <t>н/д</t>
        </is>
      </c>
      <c r="F14" s="17" t="inlineStr">
        <is>
          <t>н/д</t>
        </is>
      </c>
      <c r="G14" s="17" t="inlineStr">
        <is>
          <t>н/д</t>
        </is>
      </c>
      <c r="H14" s="17" t="inlineStr">
        <is>
          <t>н/д</t>
        </is>
      </c>
    </row>
    <row r="15" ht="36" customHeight="1">
      <c r="A15" s="13" t="inlineStr">
        <is>
          <t>Балтика (ООО ПК Балтика)</t>
        </is>
      </c>
      <c r="B15" s="13" t="inlineStr">
        <is>
          <t>пиво / вода</t>
        </is>
      </c>
      <c r="C15" s="14" t="n">
        <v>145.9</v>
      </c>
      <c r="D15" s="15" t="n">
        <v>8.199999999999999</v>
      </c>
      <c r="E15" s="14" t="n">
        <v>13.3</v>
      </c>
      <c r="F15" s="18" t="inlineStr">
        <is>
          <t>н/д</t>
        </is>
      </c>
      <c r="G15" s="18" t="inlineStr">
        <is>
          <t>н/д</t>
        </is>
      </c>
      <c r="H15" s="18" t="inlineStr">
        <is>
          <t>н/д</t>
        </is>
      </c>
    </row>
    <row r="16" ht="36" customHeight="1">
      <c r="A16" s="9" t="inlineStr">
        <is>
          <t>Сибагро (совокупность компаний группы)</t>
        </is>
      </c>
      <c r="B16" s="9" t="inlineStr">
        <is>
          <t>свинина / мясо, Сибирь</t>
        </is>
      </c>
      <c r="C16" s="10" t="n">
        <v>132</v>
      </c>
      <c r="D16" s="11" t="n">
        <v>13.8</v>
      </c>
      <c r="E16" s="17" t="inlineStr">
        <is>
          <t>н/д</t>
        </is>
      </c>
      <c r="F16" s="17" t="inlineStr">
        <is>
          <t>н/д</t>
        </is>
      </c>
      <c r="G16" s="17" t="inlineStr">
        <is>
          <t>н/д</t>
        </is>
      </c>
      <c r="H16" s="17" t="inlineStr">
        <is>
          <t>н/д</t>
        </is>
      </c>
    </row>
    <row r="17" ht="36" customHeight="1">
      <c r="A17" s="13" t="inlineStr">
        <is>
          <t>Объединённые кондитеры (ООО, дистрибуция группы)</t>
        </is>
      </c>
      <c r="B17" s="13" t="inlineStr">
        <is>
          <t>кондитерка</t>
        </is>
      </c>
      <c r="C17" s="14" t="n">
        <v>113.2</v>
      </c>
      <c r="D17" s="15" t="n">
        <v>4.7</v>
      </c>
      <c r="E17" s="19" t="n">
        <v>0.513</v>
      </c>
      <c r="F17" s="18" t="inlineStr">
        <is>
          <t>н/д</t>
        </is>
      </c>
      <c r="G17" s="18" t="inlineStr">
        <is>
          <t>н/д</t>
        </is>
      </c>
      <c r="H17" s="18" t="inlineStr">
        <is>
          <t>н/д</t>
        </is>
      </c>
    </row>
    <row r="18" ht="36" customHeight="1">
      <c r="A18" s="9" t="inlineStr">
        <is>
          <t>АБИ (ABI Product)</t>
        </is>
      </c>
      <c r="B18" s="9" t="inlineStr">
        <is>
          <t>мясопереработка / полуфабрикаты</t>
        </is>
      </c>
      <c r="C18" s="10" t="n">
        <v>87.90000000000001</v>
      </c>
      <c r="D18" s="17" t="inlineStr">
        <is>
          <t>н/д</t>
        </is>
      </c>
      <c r="E18" s="17" t="inlineStr">
        <is>
          <t>н/д</t>
        </is>
      </c>
      <c r="F18" s="17" t="inlineStr">
        <is>
          <t>н/д</t>
        </is>
      </c>
      <c r="G18" s="17" t="inlineStr">
        <is>
          <t>н/д</t>
        </is>
      </c>
      <c r="H18" s="17" t="inlineStr">
        <is>
          <t>н/д</t>
        </is>
      </c>
    </row>
    <row r="19" ht="36" customHeight="1">
      <c r="A19" s="13" t="inlineStr">
        <is>
          <t>Дамате</t>
        </is>
      </c>
      <c r="B19" s="13" t="inlineStr">
        <is>
          <t>индейка / молоко / баранина</t>
        </is>
      </c>
      <c r="C19" s="14" t="n">
        <v>82.8</v>
      </c>
      <c r="D19" s="15" t="n">
        <v>15</v>
      </c>
      <c r="E19" s="18" t="inlineStr">
        <is>
          <t>н/д</t>
        </is>
      </c>
      <c r="F19" s="18" t="inlineStr">
        <is>
          <t>н/д</t>
        </is>
      </c>
      <c r="G19" s="18" t="inlineStr">
        <is>
          <t>н/д</t>
        </is>
      </c>
      <c r="H19" s="18" t="inlineStr">
        <is>
          <t>н/д</t>
        </is>
      </c>
    </row>
    <row r="20" ht="36" customHeight="1">
      <c r="A20" s="9" t="inlineStr">
        <is>
          <t>Комос Групп (молочный контур рейтинга)</t>
        </is>
      </c>
      <c r="B20" s="9" t="inlineStr">
        <is>
          <t>молоко / мясо / птица</t>
        </is>
      </c>
      <c r="C20" s="10" t="n">
        <v>63.1</v>
      </c>
      <c r="D20" s="11" t="n">
        <v>17.5</v>
      </c>
      <c r="E20" s="17" t="inlineStr">
        <is>
          <t>н/д</t>
        </is>
      </c>
      <c r="F20" s="17" t="inlineStr">
        <is>
          <t>н/д</t>
        </is>
      </c>
      <c r="G20" s="17" t="inlineStr">
        <is>
          <t>н/д</t>
        </is>
      </c>
      <c r="H20" s="17" t="inlineStr">
        <is>
          <t>н/д</t>
        </is>
      </c>
    </row>
    <row r="21" ht="36" customHeight="1">
      <c r="A21" s="13" t="inlineStr">
        <is>
          <t>Орими Трейд (Tess, Greenfield, Jardin)</t>
        </is>
      </c>
      <c r="B21" s="13" t="inlineStr">
        <is>
          <t>чай / кофе</t>
        </is>
      </c>
      <c r="C21" s="14" t="n">
        <v>62.32</v>
      </c>
      <c r="D21" s="15" t="n">
        <v>9.9</v>
      </c>
      <c r="E21" s="14" t="n">
        <v>8.475</v>
      </c>
      <c r="F21" s="18" t="inlineStr">
        <is>
          <t>н/д</t>
        </is>
      </c>
      <c r="G21" s="18" t="inlineStr">
        <is>
          <t>н/д</t>
        </is>
      </c>
      <c r="H21" s="18" t="inlineStr">
        <is>
          <t>н/д</t>
        </is>
      </c>
    </row>
    <row r="22" ht="36" customHeight="1">
      <c r="A22" s="9" t="inlineStr">
        <is>
          <t>Hochland Russland</t>
        </is>
      </c>
      <c r="B22" s="9" t="inlineStr">
        <is>
          <t>сыр / молочка</t>
        </is>
      </c>
      <c r="C22" s="10" t="n">
        <v>60.8</v>
      </c>
      <c r="D22" s="11" t="n">
        <v>12.6</v>
      </c>
      <c r="E22" s="17" t="inlineStr">
        <is>
          <t>н/д</t>
        </is>
      </c>
      <c r="F22" s="17" t="inlineStr">
        <is>
          <t>н/д</t>
        </is>
      </c>
      <c r="G22" s="17" t="inlineStr">
        <is>
          <t>н/д</t>
        </is>
      </c>
      <c r="H22" s="17" t="inlineStr">
        <is>
          <t>н/д</t>
        </is>
      </c>
    </row>
    <row r="23" ht="36" customHeight="1">
      <c r="A23" s="13" t="inlineStr">
        <is>
          <t>ГК Ренна</t>
        </is>
      </c>
      <c r="B23" s="13" t="inlineStr">
        <is>
          <t>мороженое / сгущёнка</t>
        </is>
      </c>
      <c r="C23" s="14" t="n">
        <v>58.1</v>
      </c>
      <c r="D23" s="15" t="n">
        <v>13.3</v>
      </c>
      <c r="E23" s="18" t="inlineStr">
        <is>
          <t>н/д</t>
        </is>
      </c>
      <c r="F23" s="18" t="inlineStr">
        <is>
          <t>н/д</t>
        </is>
      </c>
      <c r="G23" s="18" t="inlineStr">
        <is>
          <t>н/д</t>
        </is>
      </c>
      <c r="H23" s="18" t="inlineStr">
        <is>
          <t>н/д</t>
        </is>
      </c>
    </row>
    <row r="24" ht="36" customHeight="1">
      <c r="A24" s="9" t="inlineStr">
        <is>
          <t>Агроэко</t>
        </is>
      </c>
      <c r="B24" s="9" t="inlineStr">
        <is>
          <t>свинина / мясо</t>
        </is>
      </c>
      <c r="C24" s="10" t="n">
        <v>56.4</v>
      </c>
      <c r="D24" s="11" t="n">
        <v>19</v>
      </c>
      <c r="E24" s="10" t="n">
        <v>8.5</v>
      </c>
      <c r="F24" s="17" t="inlineStr">
        <is>
          <t>н/д</t>
        </is>
      </c>
      <c r="G24" s="17" t="inlineStr">
        <is>
          <t>н/д</t>
        </is>
      </c>
      <c r="H24" s="17" t="inlineStr">
        <is>
          <t>н/д</t>
        </is>
      </c>
    </row>
    <row r="25" ht="36" customHeight="1">
      <c r="A25" s="13" t="inlineStr">
        <is>
          <t>Прогресс (ФрутоНяня / Малышам)</t>
        </is>
      </c>
      <c r="B25" s="13" t="inlineStr">
        <is>
          <t>детское питание / соки</t>
        </is>
      </c>
      <c r="C25" s="14" t="n">
        <v>52.1</v>
      </c>
      <c r="D25" s="15" t="n">
        <v>8</v>
      </c>
      <c r="E25" s="14" t="n">
        <v>10.2</v>
      </c>
      <c r="F25" s="18" t="inlineStr">
        <is>
          <t>н/д</t>
        </is>
      </c>
      <c r="G25" s="18" t="inlineStr">
        <is>
          <t>н/д</t>
        </is>
      </c>
      <c r="H25" s="18" t="inlineStr">
        <is>
          <t>н/д</t>
        </is>
      </c>
    </row>
    <row r="26" ht="36" customHeight="1">
      <c r="A26" s="9" t="inlineStr">
        <is>
          <t>ГК Молвест</t>
        </is>
      </c>
      <c r="B26" s="9" t="inlineStr">
        <is>
          <t>молочка</t>
        </is>
      </c>
      <c r="C26" s="10" t="n">
        <v>51.7</v>
      </c>
      <c r="D26" s="11" t="n">
        <v>4.2</v>
      </c>
      <c r="E26" s="17" t="inlineStr">
        <is>
          <t>н/д</t>
        </is>
      </c>
      <c r="F26" s="17" t="inlineStr">
        <is>
          <t>н/д</t>
        </is>
      </c>
      <c r="G26" s="17" t="inlineStr">
        <is>
          <t>н/д</t>
        </is>
      </c>
      <c r="H26" s="17" t="inlineStr">
        <is>
          <t>н/д</t>
        </is>
      </c>
    </row>
    <row r="27" ht="36" customHeight="1">
      <c r="A27" s="13" t="inlineStr">
        <is>
          <t>Эссен Продакшн (Махеевъ)</t>
        </is>
      </c>
      <c r="B27" s="13" t="inlineStr">
        <is>
          <t>соусы / консервация / кондитерка</t>
        </is>
      </c>
      <c r="C27" s="14" t="n">
        <v>50.2</v>
      </c>
      <c r="D27" s="15" t="n">
        <v>15.7</v>
      </c>
      <c r="E27" s="14" t="n">
        <v>4.9</v>
      </c>
      <c r="F27" s="18" t="inlineStr">
        <is>
          <t>н/д</t>
        </is>
      </c>
      <c r="G27" s="18" t="inlineStr">
        <is>
          <t>н/д</t>
        </is>
      </c>
      <c r="H27" s="18" t="inlineStr">
        <is>
          <t>н/д</t>
        </is>
      </c>
    </row>
    <row r="28" ht="36" customHeight="1">
      <c r="A28" s="9" t="inlineStr">
        <is>
          <t>Юговской комбинат молочных продуктов</t>
        </is>
      </c>
      <c r="B28" s="9" t="inlineStr">
        <is>
          <t>молочка / сыр</t>
        </is>
      </c>
      <c r="C28" s="10" t="n">
        <v>46.4</v>
      </c>
      <c r="D28" s="11" t="n">
        <v>4.7</v>
      </c>
      <c r="E28" s="17" t="inlineStr">
        <is>
          <t>н/д</t>
        </is>
      </c>
      <c r="F28" s="17" t="inlineStr">
        <is>
          <t>н/д</t>
        </is>
      </c>
      <c r="G28" s="17" t="inlineStr">
        <is>
          <t>н/д</t>
        </is>
      </c>
      <c r="H28" s="17" t="inlineStr">
        <is>
          <t>н/д</t>
        </is>
      </c>
    </row>
    <row r="29" ht="36" customHeight="1">
      <c r="A29" s="13" t="inlineStr">
        <is>
          <t>Сады Придонья</t>
        </is>
      </c>
      <c r="B29" s="13" t="inlineStr">
        <is>
          <t>соки / пюре / растениеводство</t>
        </is>
      </c>
      <c r="C29" s="14" t="n">
        <v>42.88</v>
      </c>
      <c r="D29" s="15" t="n">
        <v>13.6</v>
      </c>
      <c r="E29" s="14" t="n">
        <v>4.155</v>
      </c>
      <c r="F29" s="18" t="inlineStr">
        <is>
          <t>н/д</t>
        </is>
      </c>
      <c r="G29" s="18" t="inlineStr">
        <is>
          <t>н/д</t>
        </is>
      </c>
      <c r="H29" s="18" t="inlineStr">
        <is>
          <t>н/д</t>
        </is>
      </c>
    </row>
    <row r="30" ht="36" customHeight="1">
      <c r="A30" s="9" t="inlineStr">
        <is>
          <t>Ehrmann Россия</t>
        </is>
      </c>
      <c r="B30" s="9" t="inlineStr">
        <is>
          <t>молочка / десерты</t>
        </is>
      </c>
      <c r="C30" s="10" t="n">
        <v>40.6</v>
      </c>
      <c r="D30" s="11" t="n">
        <v>19.8</v>
      </c>
      <c r="E30" s="17" t="inlineStr">
        <is>
          <t>н/д</t>
        </is>
      </c>
      <c r="F30" s="17" t="inlineStr">
        <is>
          <t>н/д</t>
        </is>
      </c>
      <c r="G30" s="17" t="inlineStr">
        <is>
          <t>н/д</t>
        </is>
      </c>
      <c r="H30" s="17" t="inlineStr">
        <is>
          <t>н/д</t>
        </is>
      </c>
    </row>
    <row r="31" ht="36" customHeight="1">
      <c r="A31" s="13" t="inlineStr">
        <is>
          <t>ГК Фудлэнд</t>
        </is>
      </c>
      <c r="B31" s="13" t="inlineStr">
        <is>
          <t>сыр / молочка</t>
        </is>
      </c>
      <c r="C31" s="14" t="n">
        <v>40</v>
      </c>
      <c r="D31" s="15" t="n">
        <v>3.1</v>
      </c>
      <c r="E31" s="18" t="inlineStr">
        <is>
          <t>н/д</t>
        </is>
      </c>
      <c r="F31" s="18" t="inlineStr">
        <is>
          <t>н/д</t>
        </is>
      </c>
      <c r="G31" s="18" t="inlineStr">
        <is>
          <t>н/д</t>
        </is>
      </c>
      <c r="H31" s="18" t="inlineStr">
        <is>
          <t>н/д</t>
        </is>
      </c>
    </row>
    <row r="32" ht="36" customHeight="1">
      <c r="A32" s="9" t="inlineStr">
        <is>
          <t>Инвест Альянс (производство Ермолино)</t>
        </is>
      </c>
      <c r="B32" s="9" t="inlineStr">
        <is>
          <t>полуфабрикаты; связано с розницей Ермолино</t>
        </is>
      </c>
      <c r="C32" s="10" t="n">
        <v>36.7</v>
      </c>
      <c r="D32" s="11" t="n">
        <v>21</v>
      </c>
      <c r="E32" s="10" t="n">
        <v>6.8</v>
      </c>
      <c r="F32" s="17" t="inlineStr">
        <is>
          <t>н/д</t>
        </is>
      </c>
      <c r="G32" s="12" t="n">
        <v>3</v>
      </c>
      <c r="H32" s="17" t="inlineStr">
        <is>
          <t>н/д</t>
        </is>
      </c>
    </row>
    <row r="33" ht="36" customHeight="1">
      <c r="A33" s="13" t="inlineStr">
        <is>
          <t>Lactalis Россия</t>
        </is>
      </c>
      <c r="B33" s="13" t="inlineStr">
        <is>
          <t>сыр / молочка</t>
        </is>
      </c>
      <c r="C33" s="14" t="n">
        <v>33</v>
      </c>
      <c r="D33" s="15" t="n">
        <v>8.199999999999999</v>
      </c>
      <c r="E33" s="18" t="inlineStr">
        <is>
          <t>н/д</t>
        </is>
      </c>
      <c r="F33" s="18" t="inlineStr">
        <is>
          <t>н/д</t>
        </is>
      </c>
      <c r="G33" s="18" t="inlineStr">
        <is>
          <t>н/д</t>
        </is>
      </c>
      <c r="H33" s="18" t="inlineStr">
        <is>
          <t>н/д</t>
        </is>
      </c>
    </row>
    <row r="34" ht="36" customHeight="1">
      <c r="A34" s="9" t="inlineStr">
        <is>
          <t>ГК ЭкоНива (молочный контур рейтинга)</t>
        </is>
      </c>
      <c r="B34" s="9" t="inlineStr">
        <is>
          <t>молочка / агро</t>
        </is>
      </c>
      <c r="C34" s="10" t="n">
        <v>29.8</v>
      </c>
      <c r="D34" s="11" t="n">
        <v>4.9</v>
      </c>
      <c r="E34" s="17" t="inlineStr">
        <is>
          <t>н/д</t>
        </is>
      </c>
      <c r="F34" s="17" t="inlineStr">
        <is>
          <t>н/д</t>
        </is>
      </c>
      <c r="G34" s="17" t="inlineStr">
        <is>
          <t>н/д</t>
        </is>
      </c>
      <c r="H34" s="17" t="inlineStr">
        <is>
          <t>н/д</t>
        </is>
      </c>
    </row>
    <row r="35" ht="36" customHeight="1">
      <c r="A35" s="13" t="inlineStr">
        <is>
          <t>ГК Айсберри</t>
        </is>
      </c>
      <c r="B35" s="13" t="inlineStr">
        <is>
          <t>мороженое</t>
        </is>
      </c>
      <c r="C35" s="14" t="n">
        <v>29.5</v>
      </c>
      <c r="D35" s="15" t="n">
        <v>10.9</v>
      </c>
      <c r="E35" s="18" t="inlineStr">
        <is>
          <t>н/д</t>
        </is>
      </c>
      <c r="F35" s="18" t="inlineStr">
        <is>
          <t>н/д</t>
        </is>
      </c>
      <c r="G35" s="18" t="inlineStr">
        <is>
          <t>н/д</t>
        </is>
      </c>
      <c r="H35" s="18" t="inlineStr">
        <is>
          <t>н/д</t>
        </is>
      </c>
    </row>
    <row r="36" ht="36" customHeight="1">
      <c r="A36" s="9" t="inlineStr">
        <is>
          <t>МПБК Очаково</t>
        </is>
      </c>
      <c r="B36" s="9" t="inlineStr">
        <is>
          <t>пиво / квас / напитки</t>
        </is>
      </c>
      <c r="C36" s="10" t="n">
        <v>28.3</v>
      </c>
      <c r="D36" s="11" t="n">
        <v>17</v>
      </c>
      <c r="E36" s="10" t="n">
        <v>2.33</v>
      </c>
      <c r="F36" s="17" t="inlineStr">
        <is>
          <t>н/д</t>
        </is>
      </c>
      <c r="G36" s="17" t="inlineStr">
        <is>
          <t>н/д</t>
        </is>
      </c>
      <c r="H36" s="17" t="inlineStr">
        <is>
          <t>н/д</t>
        </is>
      </c>
    </row>
    <row r="37" ht="36" customHeight="1">
      <c r="A37" s="13" t="inlineStr">
        <is>
          <t>ГК Российское Молоко</t>
        </is>
      </c>
      <c r="B37" s="13" t="inlineStr">
        <is>
          <t>молочка</t>
        </is>
      </c>
      <c r="C37" s="14" t="n">
        <v>27.7</v>
      </c>
      <c r="D37" s="15" t="n">
        <v>24.8</v>
      </c>
      <c r="E37" s="18" t="inlineStr">
        <is>
          <t>н/д</t>
        </is>
      </c>
      <c r="F37" s="18" t="inlineStr">
        <is>
          <t>н/д</t>
        </is>
      </c>
      <c r="G37" s="18" t="inlineStr">
        <is>
          <t>н/д</t>
        </is>
      </c>
      <c r="H37" s="18" t="inlineStr">
        <is>
          <t>н/д</t>
        </is>
      </c>
    </row>
    <row r="38" ht="36" customHeight="1">
      <c r="A38" s="9" t="inlineStr">
        <is>
          <t>ГК Экомилк</t>
        </is>
      </c>
      <c r="B38" s="9" t="inlineStr">
        <is>
          <t>молочка</t>
        </is>
      </c>
      <c r="C38" s="10" t="n">
        <v>27.6</v>
      </c>
      <c r="D38" s="11" t="n">
        <v>19</v>
      </c>
      <c r="E38" s="17" t="inlineStr">
        <is>
          <t>н/д</t>
        </is>
      </c>
      <c r="F38" s="17" t="inlineStr">
        <is>
          <t>н/д</t>
        </is>
      </c>
      <c r="G38" s="17" t="inlineStr">
        <is>
          <t>н/д</t>
        </is>
      </c>
      <c r="H38" s="17" t="inlineStr">
        <is>
          <t>н/д</t>
        </is>
      </c>
    </row>
    <row r="39" ht="36" customHeight="1">
      <c r="A39" s="13" t="inlineStr">
        <is>
          <t>АМП Дамол</t>
        </is>
      </c>
      <c r="B39" s="13" t="inlineStr">
        <is>
          <t>молочка</t>
        </is>
      </c>
      <c r="C39" s="14" t="n">
        <v>26.8</v>
      </c>
      <c r="D39" s="15" t="n">
        <v>3.1</v>
      </c>
      <c r="E39" s="18" t="inlineStr">
        <is>
          <t>н/д</t>
        </is>
      </c>
      <c r="F39" s="18" t="inlineStr">
        <is>
          <t>н/д</t>
        </is>
      </c>
      <c r="G39" s="18" t="inlineStr">
        <is>
          <t>н/д</t>
        </is>
      </c>
      <c r="H39" s="18" t="inlineStr">
        <is>
          <t>н/д</t>
        </is>
      </c>
    </row>
    <row r="40" ht="36" customHeight="1">
      <c r="A40" s="9" t="inlineStr">
        <is>
          <t>ГК Русское молоко</t>
        </is>
      </c>
      <c r="B40" s="9" t="inlineStr">
        <is>
          <t>молочка</t>
        </is>
      </c>
      <c r="C40" s="10" t="n">
        <v>24.8</v>
      </c>
      <c r="D40" s="11" t="n">
        <v>17.5</v>
      </c>
      <c r="E40" s="17" t="inlineStr">
        <is>
          <t>н/д</t>
        </is>
      </c>
      <c r="F40" s="17" t="inlineStr">
        <is>
          <t>н/д</t>
        </is>
      </c>
      <c r="G40" s="17" t="inlineStr">
        <is>
          <t>н/д</t>
        </is>
      </c>
      <c r="H40" s="17" t="inlineStr">
        <is>
          <t>н/д</t>
        </is>
      </c>
    </row>
    <row r="41" ht="36" customHeight="1">
      <c r="A41" s="13" t="inlineStr">
        <is>
          <t>ГК РостАгроКомплекс</t>
        </is>
      </c>
      <c r="B41" s="13" t="inlineStr">
        <is>
          <t>молочка / творожные</t>
        </is>
      </c>
      <c r="C41" s="14" t="n">
        <v>24.4</v>
      </c>
      <c r="D41" s="15" t="n">
        <v>9.4</v>
      </c>
      <c r="E41" s="18" t="inlineStr">
        <is>
          <t>н/д</t>
        </is>
      </c>
      <c r="F41" s="18" t="inlineStr">
        <is>
          <t>н/д</t>
        </is>
      </c>
      <c r="G41" s="18" t="inlineStr">
        <is>
          <t>н/д</t>
        </is>
      </c>
      <c r="H41" s="18" t="inlineStr">
        <is>
          <t>н/д</t>
        </is>
      </c>
    </row>
    <row r="42" ht="36" customHeight="1">
      <c r="A42" s="9" t="inlineStr">
        <is>
          <t>ГК Сыробогатов</t>
        </is>
      </c>
      <c r="B42" s="9" t="inlineStr">
        <is>
          <t>сыр</t>
        </is>
      </c>
      <c r="C42" s="10" t="n">
        <v>23.1</v>
      </c>
      <c r="D42" s="11" t="n">
        <v>54</v>
      </c>
      <c r="E42" s="17" t="inlineStr">
        <is>
          <t>н/д</t>
        </is>
      </c>
      <c r="F42" s="17" t="inlineStr">
        <is>
          <t>н/д</t>
        </is>
      </c>
      <c r="G42" s="17" t="inlineStr">
        <is>
          <t>н/д</t>
        </is>
      </c>
      <c r="H42" s="17" t="inlineStr">
        <is>
          <t>н/д</t>
        </is>
      </c>
    </row>
    <row r="43" ht="36" customHeight="1">
      <c r="A43" s="13" t="inlineStr">
        <is>
          <t>Арнест ЮниРусь</t>
        </is>
      </c>
      <c r="B43" s="13" t="inlineStr">
        <is>
          <t>молочка / мороженое</t>
        </is>
      </c>
      <c r="C43" s="14" t="n">
        <v>22.5</v>
      </c>
      <c r="D43" s="15" t="n">
        <v>15.4</v>
      </c>
      <c r="E43" s="18" t="inlineStr">
        <is>
          <t>н/д</t>
        </is>
      </c>
      <c r="F43" s="18" t="inlineStr">
        <is>
          <t>н/д</t>
        </is>
      </c>
      <c r="G43" s="18" t="inlineStr">
        <is>
          <t>н/д</t>
        </is>
      </c>
      <c r="H43" s="18" t="inlineStr">
        <is>
          <t>н/д</t>
        </is>
      </c>
    </row>
    <row r="44" ht="36" customHeight="1">
      <c r="A44" s="9" t="inlineStr">
        <is>
          <t>Нэфис Косметикс</t>
        </is>
      </c>
      <c r="B44" s="9" t="inlineStr">
        <is>
          <t>бытовая химия</t>
        </is>
      </c>
      <c r="C44" s="10" t="n">
        <v>21.5</v>
      </c>
      <c r="D44" s="11" t="n">
        <v>-1.5</v>
      </c>
      <c r="E44" s="10" t="n">
        <v>-1.2</v>
      </c>
      <c r="F44" s="17" t="inlineStr">
        <is>
          <t>н/д</t>
        </is>
      </c>
      <c r="G44" s="17" t="inlineStr">
        <is>
          <t>н/д</t>
        </is>
      </c>
      <c r="H44" s="17" t="inlineStr">
        <is>
          <t>н/д</t>
        </is>
      </c>
    </row>
    <row r="45" ht="36" customHeight="1">
      <c r="A45" s="13" t="inlineStr">
        <is>
          <t>Агрокомплекс им. Н.И. Ткачёва (молочный контур)</t>
        </is>
      </c>
      <c r="B45" s="13" t="inlineStr">
        <is>
          <t>молочка / агро, Юг</t>
        </is>
      </c>
      <c r="C45" s="14" t="n">
        <v>20.7</v>
      </c>
      <c r="D45" s="15" t="n">
        <v>23.2</v>
      </c>
      <c r="E45" s="18" t="inlineStr">
        <is>
          <t>н/д</t>
        </is>
      </c>
      <c r="F45" s="18" t="inlineStr">
        <is>
          <t>н/д</t>
        </is>
      </c>
      <c r="G45" s="18" t="inlineStr">
        <is>
          <t>н/д</t>
        </is>
      </c>
      <c r="H45" s="18" t="inlineStr">
        <is>
          <t>н/д</t>
        </is>
      </c>
    </row>
    <row r="46" ht="36" customHeight="1">
      <c r="A46" s="9" t="inlineStr">
        <is>
          <t>ГК Доминант (молочный контур)</t>
        </is>
      </c>
      <c r="B46" s="9" t="inlineStr">
        <is>
          <t>молочка / сахар смежно</t>
        </is>
      </c>
      <c r="C46" s="10" t="n">
        <v>18.4</v>
      </c>
      <c r="D46" s="11" t="n">
        <v>18.7</v>
      </c>
      <c r="E46" s="17" t="inlineStr">
        <is>
          <t>н/д</t>
        </is>
      </c>
      <c r="F46" s="17" t="inlineStr">
        <is>
          <t>н/д</t>
        </is>
      </c>
      <c r="G46" s="17" t="inlineStr">
        <is>
          <t>н/д</t>
        </is>
      </c>
      <c r="H46" s="17" t="inlineStr">
        <is>
          <t>н/д</t>
        </is>
      </c>
    </row>
    <row r="47" ht="36" customHeight="1">
      <c r="A47" s="13" t="inlineStr">
        <is>
          <t>MLK Group (Ува-молоко)</t>
        </is>
      </c>
      <c r="B47" s="13" t="inlineStr">
        <is>
          <t>молочка</t>
        </is>
      </c>
      <c r="C47" s="14" t="n">
        <v>18.2</v>
      </c>
      <c r="D47" s="15" t="n">
        <v>8.300000000000001</v>
      </c>
      <c r="E47" s="18" t="inlineStr">
        <is>
          <t>н/д</t>
        </is>
      </c>
      <c r="F47" s="18" t="inlineStr">
        <is>
          <t>н/д</t>
        </is>
      </c>
      <c r="G47" s="18" t="inlineStr">
        <is>
          <t>н/д</t>
        </is>
      </c>
      <c r="H47" s="18" t="inlineStr">
        <is>
          <t>н/д</t>
        </is>
      </c>
    </row>
    <row r="48" ht="36" customHeight="1">
      <c r="A48" s="9" t="inlineStr">
        <is>
          <t>Ровеньки-Маслосырзавод</t>
        </is>
      </c>
      <c r="B48" s="9" t="inlineStr">
        <is>
          <t>сыр / молочка</t>
        </is>
      </c>
      <c r="C48" s="10" t="n">
        <v>18.1</v>
      </c>
      <c r="D48" s="11" t="n">
        <v>2.8</v>
      </c>
      <c r="E48" s="17" t="inlineStr">
        <is>
          <t>н/д</t>
        </is>
      </c>
      <c r="F48" s="17" t="inlineStr">
        <is>
          <t>н/д</t>
        </is>
      </c>
      <c r="G48" s="17" t="inlineStr">
        <is>
          <t>н/д</t>
        </is>
      </c>
      <c r="H48" s="17" t="inlineStr">
        <is>
          <t>н/д</t>
        </is>
      </c>
    </row>
    <row r="49" ht="36" customHeight="1">
      <c r="A49" s="13" t="inlineStr">
        <is>
          <t>Брянский молочный комбинат</t>
        </is>
      </c>
      <c r="B49" s="13" t="inlineStr">
        <is>
          <t>молочка</t>
        </is>
      </c>
      <c r="C49" s="14" t="n">
        <v>18</v>
      </c>
      <c r="D49" s="15" t="n">
        <v>12.5</v>
      </c>
      <c r="E49" s="18" t="inlineStr">
        <is>
          <t>н/д</t>
        </is>
      </c>
      <c r="F49" s="18" t="inlineStr">
        <is>
          <t>н/д</t>
        </is>
      </c>
      <c r="G49" s="18" t="inlineStr">
        <is>
          <t>н/д</t>
        </is>
      </c>
      <c r="H49" s="18" t="inlineStr">
        <is>
          <t>н/д</t>
        </is>
      </c>
    </row>
    <row r="50" ht="36" customHeight="1">
      <c r="A50" s="9" t="inlineStr">
        <is>
          <t>ГК Мультипро</t>
        </is>
      </c>
      <c r="B50" s="9" t="inlineStr">
        <is>
          <t>молочка / ингредиенты</t>
        </is>
      </c>
      <c r="C50" s="10" t="n">
        <v>17.3</v>
      </c>
      <c r="D50" s="11" t="n">
        <v>14.6</v>
      </c>
      <c r="E50" s="17" t="inlineStr">
        <is>
          <t>н/д</t>
        </is>
      </c>
      <c r="F50" s="17" t="inlineStr">
        <is>
          <t>н/д</t>
        </is>
      </c>
      <c r="G50" s="17" t="inlineStr">
        <is>
          <t>н/д</t>
        </is>
      </c>
      <c r="H50" s="17" t="inlineStr">
        <is>
          <t>н/д</t>
        </is>
      </c>
    </row>
    <row r="51" ht="36" customHeight="1">
      <c r="A51" s="13" t="inlineStr">
        <is>
          <t>Зеленодольский МК</t>
        </is>
      </c>
      <c r="B51" s="13" t="inlineStr">
        <is>
          <t>молочка</t>
        </is>
      </c>
      <c r="C51" s="14" t="n">
        <v>17.2</v>
      </c>
      <c r="D51" s="15" t="n">
        <v>11</v>
      </c>
      <c r="E51" s="18" t="inlineStr">
        <is>
          <t>н/д</t>
        </is>
      </c>
      <c r="F51" s="18" t="inlineStr">
        <is>
          <t>н/д</t>
        </is>
      </c>
      <c r="G51" s="18" t="inlineStr">
        <is>
          <t>н/д</t>
        </is>
      </c>
      <c r="H51" s="18" t="inlineStr">
        <is>
          <t>н/д</t>
        </is>
      </c>
    </row>
    <row r="52" ht="36" customHeight="1">
      <c r="A52" s="9" t="inlineStr">
        <is>
          <t>Лебедяньмолоко</t>
        </is>
      </c>
      <c r="B52" s="9" t="inlineStr">
        <is>
          <t>молочка</t>
        </is>
      </c>
      <c r="C52" s="10" t="n">
        <v>17.2</v>
      </c>
      <c r="D52" s="11" t="n">
        <v>25.5</v>
      </c>
      <c r="E52" s="17" t="inlineStr">
        <is>
          <t>н/д</t>
        </is>
      </c>
      <c r="F52" s="17" t="inlineStr">
        <is>
          <t>н/д</t>
        </is>
      </c>
      <c r="G52" s="17" t="inlineStr">
        <is>
          <t>н/д</t>
        </is>
      </c>
      <c r="H52" s="17" t="inlineStr">
        <is>
          <t>н/д</t>
        </is>
      </c>
    </row>
    <row r="53" ht="36" customHeight="1">
      <c r="A53" s="13" t="inlineStr">
        <is>
          <t>Froneri Россия</t>
        </is>
      </c>
      <c r="B53" s="13" t="inlineStr">
        <is>
          <t>мороженое</t>
        </is>
      </c>
      <c r="C53" s="14" t="n">
        <v>15.9</v>
      </c>
      <c r="D53" s="15" t="n">
        <v>16</v>
      </c>
      <c r="E53" s="18" t="inlineStr">
        <is>
          <t>н/д</t>
        </is>
      </c>
      <c r="F53" s="18" t="inlineStr">
        <is>
          <t>н/д</t>
        </is>
      </c>
      <c r="G53" s="18" t="inlineStr">
        <is>
          <t>н/д</t>
        </is>
      </c>
      <c r="H53" s="18" t="inlineStr">
        <is>
          <t>н/д</t>
        </is>
      </c>
    </row>
    <row r="54" ht="36" customHeight="1">
      <c r="A54" s="9" t="inlineStr">
        <is>
          <t>ГК Руслакто</t>
        </is>
      </c>
      <c r="B54" s="9" t="inlineStr">
        <is>
          <t>молочка</t>
        </is>
      </c>
      <c r="C54" s="10" t="n">
        <v>14.6</v>
      </c>
      <c r="D54" s="11" t="n">
        <v>10.6</v>
      </c>
      <c r="E54" s="17" t="inlineStr">
        <is>
          <t>н/д</t>
        </is>
      </c>
      <c r="F54" s="17" t="inlineStr">
        <is>
          <t>н/д</t>
        </is>
      </c>
      <c r="G54" s="17" t="inlineStr">
        <is>
          <t>н/д</t>
        </is>
      </c>
      <c r="H54" s="17" t="inlineStr">
        <is>
          <t>н/д</t>
        </is>
      </c>
    </row>
    <row r="55" ht="36" customHeight="1">
      <c r="A55" s="13" t="inlineStr">
        <is>
          <t>ГК ВАМИН</t>
        </is>
      </c>
      <c r="B55" s="13" t="inlineStr">
        <is>
          <t>молочка, Татарстан</t>
        </is>
      </c>
      <c r="C55" s="14" t="n">
        <v>14.5</v>
      </c>
      <c r="D55" s="15" t="n">
        <v>11.5</v>
      </c>
      <c r="E55" s="18" t="inlineStr">
        <is>
          <t>н/д</t>
        </is>
      </c>
      <c r="F55" s="18" t="inlineStr">
        <is>
          <t>н/д</t>
        </is>
      </c>
      <c r="G55" s="18" t="inlineStr">
        <is>
          <t>н/д</t>
        </is>
      </c>
      <c r="H55" s="18" t="inlineStr">
        <is>
          <t>н/д</t>
        </is>
      </c>
    </row>
    <row r="56" ht="36" customHeight="1">
      <c r="A56" s="9" t="inlineStr">
        <is>
          <t>СК Ичалковский / СЗ Сармич</t>
        </is>
      </c>
      <c r="B56" s="9" t="inlineStr">
        <is>
          <t>сыр / молочка</t>
        </is>
      </c>
      <c r="C56" s="10" t="n">
        <v>14.4</v>
      </c>
      <c r="D56" s="11" t="n">
        <v>9.9</v>
      </c>
      <c r="E56" s="17" t="inlineStr">
        <is>
          <t>н/д</t>
        </is>
      </c>
      <c r="F56" s="17" t="inlineStr">
        <is>
          <t>н/д</t>
        </is>
      </c>
      <c r="G56" s="17" t="inlineStr">
        <is>
          <t>н/д</t>
        </is>
      </c>
      <c r="H56" s="17" t="inlineStr">
        <is>
          <t>н/д</t>
        </is>
      </c>
    </row>
    <row r="57" ht="36" customHeight="1">
      <c r="A57" s="13" t="inlineStr">
        <is>
          <t>Ирбитский молочный завод</t>
        </is>
      </c>
      <c r="B57" s="13" t="inlineStr">
        <is>
          <t>молочка</t>
        </is>
      </c>
      <c r="C57" s="14" t="n">
        <v>14.1</v>
      </c>
      <c r="D57" s="15" t="n">
        <v>21.6</v>
      </c>
      <c r="E57" s="18" t="inlineStr">
        <is>
          <t>н/д</t>
        </is>
      </c>
      <c r="F57" s="18" t="inlineStr">
        <is>
          <t>н/д</t>
        </is>
      </c>
      <c r="G57" s="18" t="inlineStr">
        <is>
          <t>н/д</t>
        </is>
      </c>
      <c r="H57" s="18" t="inlineStr">
        <is>
          <t>н/д</t>
        </is>
      </c>
    </row>
    <row r="58" ht="36" customHeight="1">
      <c r="A58" s="9" t="inlineStr">
        <is>
          <t>ТнВ Сыр Стародубский</t>
        </is>
      </c>
      <c r="B58" s="9" t="inlineStr">
        <is>
          <t>сыр</t>
        </is>
      </c>
      <c r="C58" s="10" t="n">
        <v>14</v>
      </c>
      <c r="D58" s="11" t="n">
        <v>19.7</v>
      </c>
      <c r="E58" s="17" t="inlineStr">
        <is>
          <t>н/д</t>
        </is>
      </c>
      <c r="F58" s="17" t="inlineStr">
        <is>
          <t>н/д</t>
        </is>
      </c>
      <c r="G58" s="17" t="inlineStr">
        <is>
          <t>н/д</t>
        </is>
      </c>
      <c r="H58" s="17" t="inlineStr">
        <is>
          <t>н/д</t>
        </is>
      </c>
    </row>
    <row r="59" ht="36" customHeight="1">
      <c r="A59" s="13" t="inlineStr">
        <is>
          <t>МилкЭкспресс</t>
        </is>
      </c>
      <c r="B59" s="13" t="inlineStr">
        <is>
          <t>молочка</t>
        </is>
      </c>
      <c r="C59" s="14" t="n">
        <v>13.9</v>
      </c>
      <c r="D59" s="15" t="n">
        <v>18.8</v>
      </c>
      <c r="E59" s="18" t="inlineStr">
        <is>
          <t>н/д</t>
        </is>
      </c>
      <c r="F59" s="18" t="inlineStr">
        <is>
          <t>н/д</t>
        </is>
      </c>
      <c r="G59" s="18" t="inlineStr">
        <is>
          <t>н/д</t>
        </is>
      </c>
      <c r="H59" s="18" t="inlineStr">
        <is>
          <t>н/д</t>
        </is>
      </c>
    </row>
    <row r="60" ht="36" customHeight="1">
      <c r="A60" s="9" t="inlineStr">
        <is>
          <t>Пискарёвский молочный завод</t>
        </is>
      </c>
      <c r="B60" s="9" t="inlineStr">
        <is>
          <t>молочка, СЗФО</t>
        </is>
      </c>
      <c r="C60" s="10" t="n">
        <v>13.7</v>
      </c>
      <c r="D60" s="11" t="n">
        <v>12.3</v>
      </c>
      <c r="E60" s="17" t="inlineStr">
        <is>
          <t>н/д</t>
        </is>
      </c>
      <c r="F60" s="17" t="inlineStr">
        <is>
          <t>н/д</t>
        </is>
      </c>
      <c r="G60" s="17" t="inlineStr">
        <is>
          <t>н/д</t>
        </is>
      </c>
      <c r="H60" s="17" t="inlineStr">
        <is>
          <t>н/д</t>
        </is>
      </c>
    </row>
    <row r="61" ht="36" customHeight="1">
      <c r="A61" s="13" t="inlineStr">
        <is>
          <t>Барнаульский молочный комбинат</t>
        </is>
      </c>
      <c r="B61" s="13" t="inlineStr">
        <is>
          <t>молочка</t>
        </is>
      </c>
      <c r="C61" s="14" t="n">
        <v>13.1</v>
      </c>
      <c r="D61" s="15" t="n">
        <v>11</v>
      </c>
      <c r="E61" s="18" t="inlineStr">
        <is>
          <t>н/д</t>
        </is>
      </c>
      <c r="F61" s="18" t="inlineStr">
        <is>
          <t>н/д</t>
        </is>
      </c>
      <c r="G61" s="18" t="inlineStr">
        <is>
          <t>н/д</t>
        </is>
      </c>
      <c r="H61" s="18" t="inlineStr">
        <is>
          <t>н/д</t>
        </is>
      </c>
    </row>
    <row r="62" ht="36" customHeight="1">
      <c r="A62" s="9" t="inlineStr">
        <is>
          <t>DMK Group</t>
        </is>
      </c>
      <c r="B62" s="9" t="inlineStr">
        <is>
          <t>молочка</t>
        </is>
      </c>
      <c r="C62" s="10" t="n">
        <v>13</v>
      </c>
      <c r="D62" s="11" t="n">
        <v>3.2</v>
      </c>
      <c r="E62" s="17" t="inlineStr">
        <is>
          <t>н/д</t>
        </is>
      </c>
      <c r="F62" s="17" t="inlineStr">
        <is>
          <t>н/д</t>
        </is>
      </c>
      <c r="G62" s="17" t="inlineStr">
        <is>
          <t>н/д</t>
        </is>
      </c>
      <c r="H62" s="17" t="inlineStr">
        <is>
          <t>н/д</t>
        </is>
      </c>
    </row>
    <row r="63" ht="36" customHeight="1">
      <c r="A63" s="13" t="inlineStr">
        <is>
          <t>ГК Галактика</t>
        </is>
      </c>
      <c r="B63" s="13" t="inlineStr">
        <is>
          <t>молочка</t>
        </is>
      </c>
      <c r="C63" s="14" t="n">
        <v>12.7</v>
      </c>
      <c r="D63" s="15" t="n">
        <v>9.5</v>
      </c>
      <c r="E63" s="18" t="inlineStr">
        <is>
          <t>н/д</t>
        </is>
      </c>
      <c r="F63" s="18" t="inlineStr">
        <is>
          <t>н/д</t>
        </is>
      </c>
      <c r="G63" s="18" t="inlineStr">
        <is>
          <t>н/д</t>
        </is>
      </c>
      <c r="H63" s="18" t="inlineStr">
        <is>
          <t>н/д</t>
        </is>
      </c>
    </row>
    <row r="64" ht="36" customHeight="1">
      <c r="A64" s="9" t="inlineStr">
        <is>
          <t>Виола</t>
        </is>
      </c>
      <c r="B64" s="9" t="inlineStr">
        <is>
          <t>сыр / молочка</t>
        </is>
      </c>
      <c r="C64" s="10" t="n">
        <v>12.3</v>
      </c>
      <c r="D64" s="11" t="n">
        <v>8.800000000000001</v>
      </c>
      <c r="E64" s="17" t="inlineStr">
        <is>
          <t>н/д</t>
        </is>
      </c>
      <c r="F64" s="17" t="inlineStr">
        <is>
          <t>н/д</t>
        </is>
      </c>
      <c r="G64" s="17" t="inlineStr">
        <is>
          <t>н/д</t>
        </is>
      </c>
      <c r="H64" s="17" t="inlineStr">
        <is>
          <t>н/д</t>
        </is>
      </c>
    </row>
    <row r="65" ht="36" customHeight="1">
      <c r="A65" s="21" t="inlineStr">
        <is>
          <t>Вимм-Билль-Данн (молочка PepsiCo)</t>
        </is>
      </c>
      <c r="B65" s="21" t="inlineStr">
        <is>
          <t>молочка; внутри PepsiCo, не суммировать</t>
        </is>
      </c>
      <c r="C65" s="22" t="n">
        <v>162.3</v>
      </c>
      <c r="D65" s="24" t="n">
        <v>6.7</v>
      </c>
      <c r="E65" s="23" t="inlineStr">
        <is>
          <t>н/д</t>
        </is>
      </c>
      <c r="F65" s="23" t="inlineStr">
        <is>
          <t>н/д</t>
        </is>
      </c>
      <c r="G65" s="23" t="inlineStr">
        <is>
          <t>н/д</t>
        </is>
      </c>
      <c r="H65" s="23" t="inlineStr">
        <is>
          <t>н/д</t>
        </is>
      </c>
    </row>
  </sheetData>
  <autoFilter ref="A1:H65"/>
  <conditionalFormatting sqref="E2:E6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4" customWidth="1" min="1" max="1"/>
  </cols>
  <sheetData>
    <row r="1">
      <c r="A1" s="1" t="inlineStr">
        <is>
          <t>Короткий список источников</t>
        </is>
      </c>
    </row>
    <row r="3" ht="36" customHeight="1">
      <c r="A3" s="3" t="inlineStr">
        <is>
          <t>INFOLine: розница Food РФ; рейтинг сетей FMCG; FOOD&amp;DRINK RATING RUSSIA-2026; e-grocery 2025 (Самокат 279,3; X5 Digital/онлайн; Лавка 203,1; Ozon 207,2). Топ-10 сетей ≈ 12,7 трлн, +16,1%.</t>
        </is>
      </c>
    </row>
    <row r="4" ht="36" customHeight="1">
      <c r="A4" s="3" t="inlineStr">
        <is>
          <t>X5 МСФО 2025: 4 642 млрд, +18,8%, прибыль 94,8, долг 228,5, магазины 29 790; онлайн 285,7 (+42,8%); доля Food YE2025 16,6%.</t>
        </is>
      </c>
    </row>
    <row r="5" ht="36" customHeight="1">
      <c r="A5" s="3" t="inlineStr">
        <is>
          <t>Магнит МСФО 2025: 3 509,2 (+15,3%), магазины 33 440; убыток INFOLine/Т-Ж ≈ −16,6; долг 496. Дикси: 10,8% розницы группы ≈ 376 млрд, +15,4%, 2 668 магазинов.</t>
        </is>
      </c>
    </row>
    <row r="6" ht="36" customHeight="1">
      <c r="A6" s="3" t="inlineStr">
        <is>
          <t>Лента МСФО 2025: 1 103,7, прибыль 38,2, долг 48,8, 6 760 магазинов. Монетка +29,1% (INFOLine, без абсолюта).</t>
        </is>
      </c>
    </row>
    <row r="7" ht="36" customHeight="1">
      <c r="A7" s="3" t="inlineStr">
        <is>
          <t>Fix Price МСФО 12М 2025 (упр.): 313,3 (+4,3%), прибыль 11,18, 7 818 магазинов.</t>
        </is>
      </c>
    </row>
    <row r="8" ht="36" customHeight="1">
      <c r="A8" s="3" t="inlineStr">
        <is>
          <t>Винлаб МСФО 2025: 95,1 (+9%), прибыль 3,5, чистая денежная позиция 6,5, 2 175 магазинов.</t>
        </is>
      </c>
    </row>
    <row r="9" ht="36" customHeight="1">
      <c r="A9" s="3" t="inlineStr">
        <is>
          <t>Верный (Союз св. Иоанна Воина) РСБУ 2025: 154,4 (+12,7%), прибыль 21,4 млн.</t>
        </is>
      </c>
    </row>
    <row r="10" ht="36" customHeight="1">
      <c r="A10" s="3" t="inlineStr">
        <is>
          <t>SPAR МВ РСБУ: 136,3 (+6,1%), прибыль 229 млн, 142 магазина (AK&amp;M).</t>
        </is>
      </c>
    </row>
    <row r="11" ht="36" customHeight="1">
      <c r="A11" s="3" t="inlineStr">
        <is>
          <t>Семишагофф / ТК Прогресс РСБУ: 70,67 (+29%), прибыль 0,95. Авокадо INFOLine 65,69 (+4,7%). Около (X5) 66 млрд (×7,8 к 2024).</t>
        </is>
      </c>
    </row>
    <row r="12" ht="36" customHeight="1">
      <c r="A12" s="3" t="inlineStr">
        <is>
          <t>Линия / Гринн: 44 (+6,7%), прибыль 2,41, 18 гипер. Европа Курск РСБУ: 31 (+3%), прибыль 1,1.</t>
        </is>
      </c>
    </row>
    <row r="13" ht="36" customHeight="1">
      <c r="A13" s="3" t="inlineStr">
        <is>
          <t>Сибирь РСБУ (ksonline / Асефера / Толк): Ярче 168,3; Мария-Ра 127,6; Командор 100 / прибыль 1,7; Аникс 31,3; Лама 4 юрлица ≈ 32,3; Бегемаг 12,87; Низкоцен 9,5; Победа Омск 8; Доброцен 6,3; Быстроном 4,9.</t>
        </is>
      </c>
    </row>
    <row r="14" ht="36" customHeight="1">
      <c r="A14" s="3" t="inlineStr">
        <is>
          <t>Ермолино: INFOLine 111,1 выручки сети 2025; 3 005 магазинов на июнь 2026. Производство (Инвест Альянс) 36,7 / прибыль 6,8 — на листе производителей.</t>
        </is>
      </c>
    </row>
    <row r="15" ht="36" customHeight="1">
      <c r="A15" s="3" t="inlineStr">
        <is>
          <t>Союзмолоко / Milknews / Streda — переработчики молока 2025. INFOLine Food&amp;Drink топ-10. МСФО Русагро, Черкизово, Дамате. РСБУ Балтика, Прогресс, Эссен, Сады Придонья, Очаково, Орими, Нэфис, Объединённые кондитеры.</t>
        </is>
      </c>
    </row>
    <row r="16" ht="36" customHeight="1">
      <c r="A16" s="3" t="inlineStr">
        <is>
          <t>Т-Ж 15.06.2026 — прибыль сетей INFOLine. Ведомости/EcomHub — Mercury 1,66; Ашан 250; О'КЕЙ 196; Победа/ТК Лето 176.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2026-10-13T14:14:56Z</dcterms:created>
  <dcterms:modified xsi:type="dcterms:W3CDTF">2026-10-13T14:14:56Z</dcterms:modified>
</cp:coreProperties>
</file>