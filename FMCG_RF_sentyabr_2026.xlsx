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0. Как читать" sheetId="1" state="visible" r:id="rId1"/>
    <sheet name="1. Выводы" sheetId="2" state="visible" r:id="rId2"/>
    <sheet name="1б. Диаграммы" sheetId="3" state="visible" r:id="rId3"/>
    <sheet name="2. Сети" sheetId="4" state="visible" r:id="rId4"/>
    <sheet name="2б. Вывески внутри групп" sheetId="5" state="visible" r:id="rId5"/>
    <sheet name="3. Производители" sheetId="6" state="visible" r:id="rId6"/>
    <sheet name="3б. Вывески производителей" sheetId="7" state="visible" r:id="rId7"/>
    <sheet name="4. Разборы топ-10" sheetId="8" state="visible" r:id="rId8"/>
    <sheet name="5. Источники цифр" sheetId="9" state="visible" r:id="rId9"/>
  </sheets>
  <definedNames>
    <definedName name="_xlnm._FilterDatabase" localSheetId="3" hidden="1">'2. Сети'!$A$2:$H$41</definedName>
    <definedName name="_xlnm._FilterDatabase" localSheetId="4" hidden="1">'2б. Вывески внутри групп'!$A$4:$H$16</definedName>
    <definedName name="_xlnm._FilterDatabase" localSheetId="5" hidden="1">'3. Производители'!$A$2:$H$65</definedName>
    <definedName name="_xlnm._FilterDatabase" localSheetId="6" hidden="1">'3б. Вывески производителей'!$A$4:$H$5</definedName>
    <definedName name="_xlnm._FilterDatabase" localSheetId="7" hidden="1">'4. Разборы топ-10'!$A$4:$D$16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1F4E79"/>
      <sz val="13"/>
    </font>
    <font>
      <name val="Calibri"/>
      <sz val="11"/>
    </font>
    <font>
      <name val="Calibri"/>
      <b val="1"/>
      <color rgb="00FFFFFF"/>
      <sz val="10"/>
    </font>
    <font>
      <name val="Calibri"/>
      <b val="1"/>
      <sz val="11"/>
    </font>
    <font>
      <name val="Calibri"/>
      <i val="1"/>
      <color rgb="001F4E79"/>
      <sz val="11"/>
    </font>
    <font>
      <name val="Calibri"/>
      <sz val="10"/>
    </font>
    <font>
      <name val="Calibri"/>
      <color rgb="00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applyProtection="1" pivotButton="0" quotePrefix="0" xfId="0">
      <alignment vertical="top" wrapText="1"/>
      <protection locked="0" hidden="0"/>
    </xf>
    <xf numFmtId="0" fontId="0" fillId="0" borderId="0" applyProtection="1" pivotButton="0" quotePrefix="0" xfId="0">
      <protection locked="0" hidden="0"/>
    </xf>
    <xf numFmtId="0" fontId="2" fillId="0" borderId="0" applyAlignment="1" applyProtection="1" pivotButton="0" quotePrefix="0" xfId="0">
      <alignment vertical="top" wrapText="1"/>
      <protection locked="0" hidden="0"/>
    </xf>
    <xf numFmtId="0" fontId="3" fillId="0" borderId="0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 wrapText="1"/>
      <protection locked="0" hidden="0"/>
    </xf>
    <xf numFmtId="0" fontId="4" fillId="2" borderId="1" applyProtection="1" pivotButton="0" quotePrefix="0" xfId="0">
      <protection locked="0" hidden="0"/>
    </xf>
    <xf numFmtId="0" fontId="5" fillId="0" borderId="1" applyProtection="1" pivotButton="0" quotePrefix="0" xfId="0">
      <protection locked="0" hidden="0"/>
    </xf>
    <xf numFmtId="164" fontId="3" fillId="0" borderId="1" applyProtection="1" pivotButton="0" quotePrefix="0" xfId="0">
      <protection locked="0" hidden="0"/>
    </xf>
    <xf numFmtId="164" fontId="0" fillId="0" borderId="1" applyProtection="1" pivotButton="0" quotePrefix="0" xfId="0">
      <protection locked="0" hidden="0"/>
    </xf>
    <xf numFmtId="0" fontId="3" fillId="0" borderId="1" applyProtection="1" pivotButton="0" quotePrefix="0" xfId="0">
      <protection locked="0" hidden="0"/>
    </xf>
    <xf numFmtId="0" fontId="6" fillId="0" borderId="0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 vertical="center" wrapText="1"/>
      <protection locked="0" hidden="0"/>
    </xf>
    <xf numFmtId="0" fontId="7" fillId="0" borderId="1" applyAlignment="1" applyProtection="1" pivotButton="0" quotePrefix="0" xfId="0">
      <alignment vertical="center" wrapText="1"/>
      <protection locked="0" hidden="0"/>
    </xf>
    <xf numFmtId="164" fontId="7" fillId="0" borderId="1" applyAlignment="1" applyProtection="1" pivotButton="0" quotePrefix="0" xfId="0">
      <alignment vertical="center" wrapText="1"/>
      <protection locked="0" hidden="0"/>
    </xf>
    <xf numFmtId="165" fontId="7" fillId="0" borderId="1" applyAlignment="1" applyProtection="1" pivotButton="0" quotePrefix="0" xfId="0">
      <alignment vertical="center" wrapText="1"/>
      <protection locked="0" hidden="0"/>
    </xf>
    <xf numFmtId="3" fontId="7" fillId="0" borderId="1" applyAlignment="1" applyProtection="1" pivotButton="0" quotePrefix="0" xfId="0">
      <alignment vertical="center" wrapText="1"/>
      <protection locked="0" hidden="0"/>
    </xf>
    <xf numFmtId="0" fontId="7" fillId="3" borderId="1" applyAlignment="1" applyProtection="1" pivotButton="0" quotePrefix="0" xfId="0">
      <alignment vertical="center" wrapText="1"/>
      <protection locked="0" hidden="0"/>
    </xf>
    <xf numFmtId="164" fontId="7" fillId="3" borderId="1" applyAlignment="1" applyProtection="1" pivotButton="0" quotePrefix="0" xfId="0">
      <alignment vertical="center" wrapText="1"/>
      <protection locked="0" hidden="0"/>
    </xf>
    <xf numFmtId="165" fontId="7" fillId="3" borderId="1" applyAlignment="1" applyProtection="1" pivotButton="0" quotePrefix="0" xfId="0">
      <alignment vertical="center" wrapText="1"/>
      <protection locked="0" hidden="0"/>
    </xf>
    <xf numFmtId="3" fontId="7" fillId="3" borderId="1" applyAlignment="1" applyProtection="1" pivotButton="0" quotePrefix="0" xfId="0">
      <alignment vertical="center" wrapText="1"/>
      <protection locked="0" hidden="0"/>
    </xf>
    <xf numFmtId="0" fontId="7" fillId="0" borderId="1" applyAlignment="1" applyProtection="1" pivotButton="0" quotePrefix="0" xfId="0">
      <alignment horizontal="center" vertical="center" wrapText="1"/>
      <protection locked="0" hidden="0"/>
    </xf>
    <xf numFmtId="0" fontId="7" fillId="3" borderId="1" applyAlignment="1" applyProtection="1" pivotButton="0" quotePrefix="0" xfId="0">
      <alignment horizontal="center" vertical="center" wrapText="1"/>
      <protection locked="0" hidden="0"/>
    </xf>
    <xf numFmtId="4" fontId="7" fillId="3" borderId="1" applyAlignment="1" applyProtection="1" pivotButton="0" quotePrefix="0" xfId="0">
      <alignment vertical="center" wrapText="1"/>
      <protection locked="0" hidden="0"/>
    </xf>
    <xf numFmtId="4" fontId="7" fillId="0" borderId="1" applyAlignment="1" applyProtection="1" pivotButton="0" quotePrefix="0" xfId="0">
      <alignment vertical="center" wrapText="1"/>
      <protection locked="0" hidden="0"/>
    </xf>
    <xf numFmtId="0" fontId="0" fillId="0" borderId="1" applyAlignment="1" applyProtection="1" pivotButton="0" quotePrefix="0" xfId="0">
      <alignment horizontal="center" vertical="top"/>
      <protection locked="0" hidden="0"/>
    </xf>
    <xf numFmtId="0" fontId="5" fillId="0" borderId="1" applyAlignment="1" applyProtection="1" pivotButton="0" quotePrefix="0" xfId="0">
      <alignment vertical="top" wrapText="1"/>
      <protection locked="0" hidden="0"/>
    </xf>
    <xf numFmtId="0" fontId="3" fillId="0" borderId="1" applyAlignment="1" applyProtection="1" pivotButton="0" quotePrefix="0" xfId="0">
      <alignment vertical="top" wrapText="1"/>
      <protection locked="0" hidden="0"/>
    </xf>
    <xf numFmtId="0" fontId="8" fillId="0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1">
    <dxf>
      <font>
        <name val="Calibri"/>
        <b val="1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Кто сколько продал в 2025 году, млрд ₽. Подпись слева = название сети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'1б. Диаграммы'!B5</f>
            </strRef>
          </tx>
          <spPr>
            <a:ln>
              <a:prstDash val="solid"/>
            </a:ln>
          </spPr>
          <cat>
            <numRef>
              <f>'1б. Диаграммы'!$A$6:$A$15</f>
            </numRef>
          </cat>
          <val>
            <numRef>
              <f>'1б. Диаграммы'!$B$6:$B$15</f>
            </numRef>
          </val>
        </ser>
        <dLbls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Выручка, млрд ₽</a:t>
                </a:r>
              </a:p>
            </rich>
          </tx>
        </title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Кто сколько заработал в 2025 году, млрд ₽. Подпись слева = сеть. Магнит — столбик влево, это убыток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'1б. Диаграммы'!F5</f>
            </strRef>
          </tx>
          <spPr>
            <a:ln>
              <a:prstDash val="solid"/>
            </a:ln>
          </spPr>
          <cat>
            <numRef>
              <f>'1б. Диаграммы'!$E$6:$E$14</f>
            </numRef>
          </cat>
          <val>
            <numRef>
              <f>'1б. Диаграммы'!$F$6:$F$14</f>
            </numRef>
          </val>
        </ser>
        <dLbls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Прибыль, млрд ₽</a:t>
                </a:r>
              </a:p>
            </rich>
          </tx>
        </title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Кто сколько отгрузил в 2025 году, млрд ₽. Подпись слева = название производителя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'1б. Диаграммы'!B57</f>
            </strRef>
          </tx>
          <spPr>
            <a:ln>
              <a:prstDash val="solid"/>
            </a:ln>
          </spPr>
          <cat>
            <numRef>
              <f>'1б. Диаграммы'!$A$58:$A$67</f>
            </numRef>
          </cat>
          <val>
            <numRef>
              <f>'1б. Диаграммы'!$B$58:$B$67</f>
            </numRef>
          </val>
        </ser>
        <dLbls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Выручка, млрд ₽</a:t>
                </a:r>
              </a:p>
            </rich>
          </tx>
        </title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79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69</row>
      <rowOff>0</rowOff>
    </from>
    <ext cx="79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vc.ru/media/2807691-h5-otchitalas-za-2025-god-rost-vyruchki-padenie-chistoy-pribyli" TargetMode="External" Id="rId1" /><Relationship Type="http://schemas.openxmlformats.org/officeDocument/2006/relationships/hyperlink" Target="https://www.kommersant.ru/doc/8633785" TargetMode="External" Id="rId2" /><Relationship Type="http://schemas.openxmlformats.org/officeDocument/2006/relationships/hyperlink" Target="https://www.ar2025.magnit.com/downloads/ru/MAGNIT_AR_2025_%D0%9E%D0%B1%D0%B7%D0%BE%D1%80%20%D0%B4%D0%B5%D1%8F%D1%82%D0%B5%D0%BB%D1%8C%D0%BD%D0%BE%D1%81%D1%82%D0%B8.pdf" TargetMode="External" Id="rId3" /><Relationship Type="http://schemas.openxmlformats.org/officeDocument/2006/relationships/hyperlink" Target="https://www.ratings.ru/ratings/press-releases/Lenta-RA-270326/" TargetMode="External" Id="rId4" /><Relationship Type="http://schemas.openxmlformats.org/officeDocument/2006/relationships/hyperlink" Target="https://www.lentagroup.ru/upload/iblock/621/7s5afbnqt0hjpxw29eh763jd6su42ig0/ya2025.pdf" TargetMode="External" Id="rId5" /><Relationship Type="http://schemas.openxmlformats.org/officeDocument/2006/relationships/hyperlink" Target="https://www.malls.ru/rus/news/vladeltsy-krasnogo-belogo-i-bristolya-poluchili-dividendami-58-6-mlrd-rubley.shtml" TargetMode="External" Id="rId6" /><Relationship Type="http://schemas.openxmlformats.org/officeDocument/2006/relationships/hyperlink" Target="https://retailer.ru/svetofor-za-god-zakryl-bolee-300-magazinov/" TargetMode="External" Id="rId7" /><Relationship Type="http://schemas.openxmlformats.org/officeDocument/2006/relationships/hyperlink" Target="https://www.interfax.ru/business/1076524" TargetMode="External" Id="rId8" /><Relationship Type="http://schemas.openxmlformats.org/officeDocument/2006/relationships/hyperlink" Target="https://cherkizovo-group.com/press/gruppa-cherkizovo-obyavlyaet-finansovye-rezultaty-za-2025-god/" TargetMode="External" Id="rId9" /><Relationship Type="http://schemas.openxmlformats.org/officeDocument/2006/relationships/hyperlink" Target="https://www.souzmoloko.ru/news/pressa-o-nas/pressa-o-nas_7742.html" TargetMode="External" Id="rId10" /><Relationship Type="http://schemas.openxmlformats.org/officeDocument/2006/relationships/hyperlink" Target="https://www.agroinvestor.ru/markets/news/46184-vyruchka-krupneyshikh-kompaniy-pishchevoy-otrasli-prevysila-3-trln-rubley/" TargetMode="External" Id="rId11" /><Relationship Type="http://schemas.openxmlformats.org/officeDocument/2006/relationships/hyperlink" Target="https://www.rbc.ru/business/01/04/2026/69cd02cd9a794745dbb88be5" TargetMode="External" Id="rId12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 ht="24" customHeight="1">
      <c r="A1" s="1" t="inlineStr">
        <is>
          <t>FMCG Россия — финансовый срез на сентябрь 2026</t>
        </is>
      </c>
    </row>
    <row r="2">
      <c r="A2" s="2" t="n"/>
    </row>
    <row r="3" ht="22" customHeight="1">
      <c r="A3" s="3" t="inlineStr">
        <is>
          <t>Как устроены списки — простыми словами</t>
        </is>
      </c>
    </row>
    <row r="4" ht="64" customHeight="1">
      <c r="A4" s="4" t="inlineStr">
        <is>
          <t>Представьте корзину X5. В ней уже лежат Пятёрочка, Перекрёсток и Чижик. На листе «Сети» стоит одна строка «X5 Group» с выручкой 4 642 млрд ₽ — это вся корзина. Пятёрочка отдельно (3 600 млрд) лежит на другом листе: «Вывески внутри групп». Если сложить 4 642 + 3 600, вы посчитаете одни и те же магазины дважды.</t>
        </is>
      </c>
    </row>
    <row r="5">
      <c r="A5" s="2" t="n"/>
    </row>
    <row r="6" ht="88" customHeight="1">
      <c r="A6" s="4" t="inlineStr">
        <is>
          <t>Поэтому в файле три рабочих таблицы, а не одна каша:
• «Сети» — самостоятельные компании (X5, Магнит, Лента…). Их можно сравнивать друг с другом.
• «Вывески внутри групп» — бренды, которые УЖЕ входят в строку холдинга. Нужны, чтобы понять полку (Чижик vs Светофор), но не чтобы складывать с родителем.
• «Производители» — то же самое с другой стороны прилавка. PepsiCo и Черкизово стоят на полке и у X5, и у Магнита: это не пары «сеть ↔ завод».</t>
        </is>
      </c>
    </row>
    <row r="7">
      <c r="A7" s="2" t="n"/>
    </row>
    <row r="8" ht="56" customHeight="1">
      <c r="A8" s="4" t="inlineStr">
        <is>
          <t>Сейчас в файле 39 самостоятельных сетей с хотя бы одной раскрытой цифрой 2025 и 12 вывесок внутри групп. Производителей с раскрытием: 63 (плюс 1 — Вимм-Билль-Данн внутри PepsiCo). Пустых строк «всё н/д» нет: если цифры в открытых источниках не нашлось, компании в таблицу не ставили.</t>
        </is>
      </c>
    </row>
    <row r="9">
      <c r="A9" s="2" t="n"/>
    </row>
    <row r="10" ht="56" customHeight="1">
      <c r="A10" s="4" t="inlineStr">
        <is>
          <t>Столбцы в таблицах — только те, что на скриншоте. «н/д» в ячейке = открытой сопоставимой цифры нет, ничего не досчитано. Год в ячейках выручки — полный 2025. Доля рынка Food у X5 — 16,6% по итогам 2025 (INFOLine); у Магнита 12,3% — это уже срез 1 кв. 2026, другого открытого годового не публиковали.</t>
        </is>
      </c>
    </row>
    <row r="11">
      <c r="A11" s="2" t="n"/>
    </row>
    <row r="12" ht="44" customHeight="1">
      <c r="A12" s="4" t="inlineStr">
        <is>
          <t>Где смотреть дальше: «Выводы» — разжёванные пункты 2, 3, 5, 6 и ответ про долги. «Разборы топ-10» — ссылки на статьи. «Диаграммы» — графики с названиями на оси и таблицей «кто на картинке» над каждым.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45911"/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Что происходит на рынке — человеческим языком</t>
        </is>
      </c>
    </row>
    <row r="2" ht="200" customHeight="1">
      <c r="A2" s="4" t="inlineStr">
        <is>
          <t>Если совсем коротко, одной историей. В 2025 году люди в продуктовые магазины ходили и оставляли больше денег, чем в 2024-м. Десятка крупнейших сетей собрала примерно на 16% больше. Это не праздник: цены выросли, сети открывали новые точки, кто-то покупал чужие магазины.
Но «больше в кассе» не значит «больше в кармане у компании». Кредиты в 2025 году были очень дорогими. Часть того, что покупатель оставил на кассе, ушла банкам в виде процентов. Поэтому у X5 выручка выросла, а прибыль упала. У Магнита выручка тоже выросла, а год закончился убытком. Это не пустые полки и не «сеть разваливается» — это дорогие заёмные деньги.
Долги у крупных разные. У Ленты долг маленький и даже снизился. У X5 долг есть, но невыбранных кредитов в банках больше, чем сам долг. У Магнита рюкзак тяжёлый: почти полтриллиона чистого долга. Магнит при этом магазины не закрывает и отчётность сдаёт — просто жить так при высокой ставке тяжело.
С другой стороны прилавка заводы росли медленнее сетей. PepsiCo и Русагро почти сравнялись по продажам. В молочке впервые вышла вперёд «Логика молока» (бывшие заводы Danone). Хард-дискаунтер как формат жив (Чижик у X5 сильно вырос), но сам «Светофор» сжался.
Все цифры ниже — полный 2025 год к полному 2024-му. 2026-й ещё идёт, годовых отчётов нет, поэтому «на сколько выросли в 2026» в таблице нет.</t>
        </is>
      </c>
    </row>
    <row r="3">
      <c r="A3" s="2" t="n"/>
    </row>
    <row r="4" ht="22" customHeight="1">
      <c r="A4" s="3" t="inlineStr">
        <is>
          <t>П.2. Почему выручка растёт, а прибыль — нет</t>
        </is>
      </c>
    </row>
    <row r="5" ht="56" customHeight="1">
      <c r="A5" s="4" t="inlineStr">
        <is>
          <t>Два разных слова, которые часто путают. Выручка — это сколько покупатели оставили в кассе за год. Прибыль — что осталось компании после зарплат, аренды, закупок товара и, главное, процентов по кредитам. Можно продавать больше и при этом уносить домой меньше: магазины работают, народ покупает, а «цена денег» съедает результат. Именно это и случилось у двух крупнейших сетей.</t>
        </is>
      </c>
    </row>
    <row r="6" ht="120" customHeight="1">
      <c r="A6" s="4" t="inlineStr">
        <is>
          <t>X5 — это Пятёрочка, Перекрёсток и Чижик вместе. В кассы за 2025 год пришло 4,64 трлн ₽ — на 18,8% больше, чем в 2024-м. Сеть открывала магазины, товары дорожали, люди не перестали ходить за хлебом и молоком. Казалось бы, отличный год. Но чистая прибыль упала на 13,9% — до 94,8 млрд ₽. Компания сама объясняет почему. Во-первых, кредиты стали дороже, и тело долга больше — банкам ушло больше процентов. Во-вторых, разово отложили 4,1 млрд «на всякий случай», если кто-то из партнёров не расплатится. В-третьих, владельцам щедро вернули деньги: дивиденды около 159 млрд и выкуп своих акций около 45 млрд. Капитал на балансе сжался, но это не дыра в магазинах, а раздача кэша акционерам. Магазины живые. Меньше стало не покупок, а того, что осталось после банков и дивидендов. Где читать: vc.ru «Х5 отчиталась за 2025 год. Рост выручки есть, чистая прибыль упала»; пресс-релиз X5.</t>
        </is>
      </c>
    </row>
    <row r="7" ht="128" customHeight="1">
      <c r="A7" s="4" t="inlineStr">
        <is>
          <t>Магнит. Та же история на кассе и другая внизу отчёта. Выручка +15,3% до 3,51 трлн ₽ — люди покупали. А прибыли нет: убыток 16,6 млрд ₽. Годом раньше была прибыль около 50 млрд. То есть за один год компания перешла из «заработали» в «ушли в минус», хотя магазины не опустели. Почему: деньги в 2025 году стоили очень дорого. Средняя ставка по долгу Магнита — 17,1%, одних только процентов и финансовых расходов набежало 82,3 млрд. Плюс минус 3 млрд на курсе валют. Плюс покупки «Азбуки вкуса» (29,6 млрд) и «Самбери» — это не расходы в кассе магазина, но деньги из группы ушли. Юрлицо, которое реально крутит магазины, — АО «Тандер» — впервые за двадцать с лишним лет закончило год в минусе (около −22 млрд). Это не «покупатели ушли», а проценты по кредитам на развитие. Статьи: «Коммерсантъ» 01.04.2026; РБК про убыток «Тандера».</t>
        </is>
      </c>
    </row>
    <row r="8" ht="48" customHeight="1">
      <c r="A8" s="4" t="inlineStr">
        <is>
          <t>Итог этого пункта. Полка живая, народ покупает. Ломается не спрос, а арифметика после процентов по кредитам. У X5 прибыль ещё плюсовая, просто меньше. У Магнита уже минус. Это разные степени одной болезни — дорогого долга, а не закрытых касс.</t>
        </is>
      </c>
    </row>
    <row r="9">
      <c r="A9" s="2" t="n"/>
    </row>
    <row r="10" ht="22" customHeight="1">
      <c r="A10" s="3" t="inlineStr">
        <is>
          <t>П.3. Долги: откуда, перед кем, развалится ли сеть?</t>
        </is>
      </c>
    </row>
    <row r="11" ht="88" customHeight="1">
      <c r="A11" s="4" t="inlineStr">
        <is>
          <t>Сначала что значит цифра в столбце «чистый долг». Компания должна банкам и/или людям, которые купили её облигации. Это «весь долг». На счетах при этом лежит кэш. Чистый долг = весь долг минус кэш. Если кэша больше, чем долга, в ячейке будет минус — как у Винлаба: это не «минус должна», а запас денег.
Дальше смотрят простую мерку: за сколько лет обычной операционной прибыли (EBITDA) этот долг можно было бы закрыть. До 1× — лёгкий рюкзак, как небольшая ипотека при нормальной зарплате. Около 3× — уже тяжело, но для большой сети ещё живой. Выше 4–5× без запаса денег на счетах — уже вопрос, потянет ли.</t>
        </is>
      </c>
    </row>
    <row r="12" ht="140" customHeight="1">
      <c r="A12" s="4" t="inlineStr">
        <is>
          <t>Лента. Чистый долг 48,8 млрд ₽. На фоне Магнита это мелочь, и за год долг даже снизился (было 60,9). Закрыть его хватило бы меньше чем года обычной прибыли. Перед кем должна: только банкам. Облигаций у Ленты в 2025 ещё не было — это прямо пишет рейтинговое агентство НКР. Каким именно банкам — поимённый список в открытый отчёт не кладут, это обычные крупные российские банки плюс невыбранный запас кредитов около 226 млрд. На счетах 51 млрд кэша — почти столько же, сколько короткий долг. Весной 2026 три агентства поставили оценки уровня AA / AA+: «высокая надёжность».
Развалится ли? По открытым данным — нет. Долг падает, а не растёт; рейтинг хороший; 48,8 млрд в 23 раза меньше, чем у Магнита. Откуда долг вообще взялся: как у любой крупной сети — товар на складе, стройка магазинов, покупка «Монетки», «Реми», «Улыбки радуги». Это рабочий инструмент, не признак краха. Источники: презентация Ленты за 4 кв. 2025, годовой отчёт, пресс-релиз НКР 27.03.2026.</t>
        </is>
      </c>
    </row>
    <row r="13" ht="140" customHeight="1">
      <c r="A13" s="4" t="inlineStr">
        <is>
          <t>Магнит. Тут рюкзак тяжёлый: чистый долг 496 млрд, почти в два раза больше, чем год назад. Весь долг 746 млрд. Примерно половина — кредиты банков (48,6%), половина — облигации на Московской бирже (50,8%). Перед кем: банки + все, кто купил бумаги «Магнита» (фонды, банки, частные инвесторы). Поимённый список держателей облигаций компания не публикует — так устроен биржевой рынок, бумаги перепродаются.
Сама компания говорит: во втором полугодии нарочно набрала лишних денег, чтобы заранее закрыть погашения 2026 года, а не потому что в кассах кончились деньги. Признаков дефолта в открытую нет: 33 тысячи магазинов работают, отчётность выходит, облигации торгуются. Но это уже не спокойный долг, как у Ленты. Если ключевая ставка останется высокой, проценты будут и дальше съедать прибыль. За чем следить в 2026-м: сможет ли перекредитоваться дешевле. Источники: годовой обзор Магнита 2025, «Коммерсантъ», РБК.</t>
        </is>
      </c>
    </row>
    <row r="14" ht="72" customHeight="1">
      <c r="A14" s="4" t="inlineStr">
        <is>
          <t>X5. Чистый долг 228,5 млрд — заметно меньше Магнита. Рюкзак лёгкий: меньше года прибыли. Весь долг в рублях. Невыбранных кредитов в крупных банках — 773 млрд, то есть запас больше, чем сам долг. На счетах 178 млрд. Перед кем: российские банки и рублёвые облигации, без поимённого списка держателей в пресс-релизе. Развалится ли? Нет. Прибыль упала из-за процентов и дивидендов, а не потому что покупатели ушли.</t>
        </is>
      </c>
    </row>
    <row r="15" ht="80" customHeight="1">
      <c r="A15" s="4" t="inlineStr">
        <is>
          <t>Mercury — это «Красное &amp; Белое» плюс «Бристоль». Сводного отчёта на весь холдинг нет, поэтому чистого долга группы в таблице нет. Это не «скрыли крах», а просто не публикуют общую картину. По юрлицу «Альфа-М» (это К&amp;Б) наоборот видно: с убытка 2024 вышли на прибыль 26 млрд при выручке 847 млрд. Владельцы сняли большие дивиденды — так делают, когда кэш есть, а не когда спасают сеть. В начале 2026 К&amp;Б впервые чуть сократила число магазинов (минус 4 точки) — это замедление, не развал.</t>
        </is>
      </c>
    </row>
    <row r="16">
      <c r="A16" s="2" t="n"/>
    </row>
    <row r="17" ht="22" customHeight="1">
      <c r="A17" s="3" t="inlineStr">
        <is>
          <t>П.5. Производители: почему PepsiCo и Русагро почти вничью</t>
        </is>
      </c>
    </row>
    <row r="18" ht="96" customHeight="1">
      <c r="A18" s="4" t="inlineStr">
        <is>
          <t>Теперь другая сторона прилавка — кто кладёт еду и напитки на полку, а не кто её продаёт. INFOLine сложил выручку десяти крупнейших производителей за 2025 год: 3 трлн ₽, рост всего на 9,1%. Сети (топ-10) росли быстрее — примерно на 16%. Товар по-прежнему приходит с заводов: сеть сама молоко не доит. Меняется имя на пачке и то, кто забирает наценку. Раньше на полке чаще стоял бренд завода (Pepsi, «Домик в деревне», Lay's) — деньги за бренд шли производителю. Сейчас всё больше пачек с маркой магазина (СТМ: «Красная цена», «Пятёрочка» и т.п.). Их тоже сварил какой-то завод, но часто другой, контрактный, или тот же — только без брендовой цены. В дискаунтере (Чижик) полка короткая: брендам именитых заводов просто меньше места. Поэтому кассы сетей растут быстрее, чем выручка десятки известных производителей.</t>
        </is>
      </c>
    </row>
    <row r="19" ht="120" customHeight="1">
      <c r="A19" s="4" t="inlineStr">
        <is>
          <t>Первое и второе место — почти фотофиниш. PepsiCo Россия продала на 398,8 млрд ₽ (+11,1%): это Pepsi, Lay's и молочка «Вимм-Билль-Данн». Русагро — 396,5 млрд (+16,6%), то есть отстала меньше чем на 3 млрд. Но Русагро догнала не потому, что масло вдруг стали лучше брать. В периметр полностью вошло «Агро-Белогорье», мясная выручка подскочила на 71%. Это рост «купили завод», а не «масло лучше продалось».
При этом заработать Русагро стала меньше: прибыль упала в 1,6 раза, до 19,9 млрд. Льготные сельхозкредиты подорожали, рубль окреп — на валютной подушке и долгах покупателей из-за рубежа получился курсовой минус. Долг вырос. Гендиректор Тимур Липатов это прямо сказал в отчётности (Интерфакс 06.03.2026; презентация Русагро за 2025).</t>
        </is>
      </c>
    </row>
    <row r="20" ht="112" customHeight="1">
      <c r="A20" s="4" t="inlineStr">
        <is>
          <t>Что изменилось в десятке. Раньше наверху стояли глобальные бренды: PepsiCo, Nestlé, Mars. Сейчас пять из десяти — российские агрохолдинги «от поля до прилавка»: Русагро, Мираторг, Черкизово, ГАП Ресурс, Агропромкомплектация. Они сами выращивают, сами режут, сами кладут на полку. Для закупщика сети это значит: торгуешься уже не с «просто поставщиком соуса», а с вертикальным холдингом.
Не у всех год был про рост. ЭФКО (третье место) выручку не нарастила совсем — ноль. KDV почти остановилась (+1%). Черкизово продала на 11% больше (289 млрд), в отчёте прибыль 30 млрд. Но «очищенная» прибыль — без переоценки свиней и кур на балансе — 19,5 млрд, чуть ниже прошлого года. Красивая цифра 30 млрд включает бумажную переоценку. Долг 140 млрд, примерно 2,5 года прибыли, за год почти не вырос.</t>
        </is>
      </c>
    </row>
    <row r="21">
      <c r="A21" s="2" t="n"/>
    </row>
    <row r="22" ht="22" customHeight="1">
      <c r="A22" s="3" t="inlineStr">
        <is>
          <t>П.6. Молочка и пиво: кто теперь первый на полке</t>
        </is>
      </c>
    </row>
    <row r="23" ht="120" customHeight="1">
      <c r="A23" s="4" t="inlineStr">
        <is>
          <t>Молочка. Несколько лет в рейтинге Союзмолоко первым был «Вимм-Билль-Данн» — это кусок PepsiCo, «Домик в деревне», «Чудо» и так далее. В 2025 году первое место впервые взяла «Логика молока»: 167,1 млрд ₽ против 162,3 млрд у ВБД. Кто это такие: бывшие заводы Danone — «Простоквашино», «Растишка», «Актибио», «Тема». С 2024 года они под российским контролем.
Почему обогнали: росли быстрее весь год (+17,9% против +6,7% у ВБД), а в декабре докупили мороженое «Новосибхолод» / «Полярис» — и этого хватило, чтобы вырваться. Важно для таблицы: 162 млрд ВБД уже сидят внутри PepsiCo (398 млрд) на листе производителей. Отдельную строку ВБД нельзя прибавлять к PepsiCo — получится двойной счёт. Источник: Союзмолоко / Интерфакс 21.07.2026.</t>
        </is>
      </c>
    </row>
    <row r="24" ht="72" customHeight="1">
      <c r="A24" s="4" t="inlineStr">
        <is>
          <t>Пиво. Бывший AB InBev Efes в России теперь называется «Напитки вместе»: 164,7 млрд ₽ (+16,6%). По пиву это первый. «Балтика» (бывший Carlsberg, тоже уже российский контур) — 145,9 млрд (+8,2%) и прибыль 13,3 млрд. Годом раньше Балтика была убыточной, в 2025 вышла в плюс. Для полки это значит: оба больших пивных контура никуда не делись. Сменились вывески и собственники, а не исчезли бренды в холодильнике.</t>
        </is>
      </c>
    </row>
    <row r="25" ht="88" customHeight="1">
      <c r="A25" s="4" t="inlineStr">
        <is>
          <t>Ещё два факта, которые часто путают.
Хард-дискаунтер как формат не умер. «Чижик» внутри X5 вырос на 67% и дошёл до 418 млрд ₽. А вот сам «Светофор» сжался: выручка −3%, закрыли 315 магазинов. Формат жив, конкретный бренд «Светофор» сжимается — конкуренция с Чижиком плюс проверки Роспотребнадзора.
Региональные сети с выручкой больше 100 млрд — Верный 154, SPAR Миддл Волга 136, Мария-Ра 128, Ермолино около 111, Командор 100 — это не «маленькие спокойные магазинчики». Это как раз тот размер, на который крупные группы смотрят как на возможные покупки, а не зона, где можно годы расти самим и тебя не тронут.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24" customWidth="1" min="3" max="3"/>
    <col width="14" customWidth="1" min="4" max="4"/>
    <col width="18" customWidth="1" min="5" max="5"/>
  </cols>
  <sheetData>
    <row r="1" ht="24" customHeight="1">
      <c r="A1" s="1" t="inlineStr">
        <is>
          <t>Диаграммы: кто на картинке</t>
        </is>
      </c>
      <c r="B1" s="2" t="n"/>
      <c r="C1" s="2" t="n"/>
      <c r="D1" s="2" t="n"/>
      <c r="E1" s="2" t="n"/>
      <c r="F1" s="2" t="n"/>
    </row>
    <row r="2" ht="48" customHeight="1">
      <c r="A2" s="4" t="inlineStr">
        <is>
          <t>Каждый график — горизонтальные полоски. Слева на оси написано имя компании. Длина полоски и число на ней — выручка или прибыль в млрд ₽ за 2025 год. Таблица над графиком — тот же список: если подпись на оси мелковата, читайте таблицу.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36" customHeight="1">
      <c r="A4" s="3" t="inlineStr">
        <is>
          <t>График ниже: 10 сетей с самой большой выручкой 2025. Ось слева = название сети.</t>
        </is>
      </c>
      <c r="B4" s="2" t="n"/>
      <c r="C4" s="2" t="n"/>
      <c r="D4" s="2" t="n"/>
      <c r="E4" s="2" t="n"/>
      <c r="F4" s="2" t="n"/>
    </row>
    <row r="5">
      <c r="A5" s="5" t="inlineStr">
        <is>
          <t>Сеть (подпись на графике)</t>
        </is>
      </c>
      <c r="B5" s="5" t="inlineStr">
        <is>
          <t>Выручка 2025, млрд ₽</t>
        </is>
      </c>
      <c r="C5" s="5" t="inlineStr">
        <is>
          <t>Прибыль 2025, млрд ₽</t>
        </is>
      </c>
      <c r="D5" s="2" t="n"/>
      <c r="E5" s="6" t="inlineStr">
        <is>
          <t>Сеть</t>
        </is>
      </c>
      <c r="F5" s="6" t="inlineStr">
        <is>
          <t>Прибыль 2025, млрд ₽</t>
        </is>
      </c>
    </row>
    <row r="6">
      <c r="A6" s="7" t="inlineStr">
        <is>
          <t>X5 Group</t>
        </is>
      </c>
      <c r="B6" s="8" t="n">
        <v>4642</v>
      </c>
      <c r="C6" s="8" t="n">
        <v>94.8</v>
      </c>
      <c r="D6" s="2" t="n"/>
      <c r="E6" s="7" t="inlineStr">
        <is>
          <t>X5 Group</t>
        </is>
      </c>
      <c r="F6" s="9" t="n">
        <v>94.8</v>
      </c>
    </row>
    <row r="7">
      <c r="A7" s="7" t="inlineStr">
        <is>
          <t>Магнит</t>
        </is>
      </c>
      <c r="B7" s="8" t="n">
        <v>3509.2</v>
      </c>
      <c r="C7" s="8" t="n">
        <v>-16.6</v>
      </c>
      <c r="D7" s="2" t="n"/>
      <c r="E7" s="7" t="inlineStr">
        <is>
          <t>Магнит</t>
        </is>
      </c>
      <c r="F7" s="9" t="n">
        <v>-16.6</v>
      </c>
    </row>
    <row r="8">
      <c r="A8" s="7" t="inlineStr">
        <is>
          <t>Mercury (К&amp;Б + Бристоль)</t>
        </is>
      </c>
      <c r="B8" s="8" t="n">
        <v>1660</v>
      </c>
      <c r="C8" s="8" t="n">
        <v>54.5</v>
      </c>
      <c r="D8" s="2" t="n"/>
      <c r="E8" s="7" t="inlineStr">
        <is>
          <t>Mercury (К&amp;Б + Бристоль)</t>
        </is>
      </c>
      <c r="F8" s="9" t="n">
        <v>54.5</v>
      </c>
    </row>
    <row r="9">
      <c r="A9" s="7" t="inlineStr">
        <is>
          <t>Лента</t>
        </is>
      </c>
      <c r="B9" s="8" t="n">
        <v>1103.7</v>
      </c>
      <c r="C9" s="8" t="n">
        <v>38.2</v>
      </c>
      <c r="D9" s="2" t="n"/>
      <c r="E9" s="7" t="inlineStr">
        <is>
          <t>Лента</t>
        </is>
      </c>
      <c r="F9" s="9" t="n">
        <v>38.2</v>
      </c>
    </row>
    <row r="10">
      <c r="A10" s="7" t="inlineStr">
        <is>
          <t>Светофор</t>
        </is>
      </c>
      <c r="B10" s="8" t="n">
        <v>394.4</v>
      </c>
      <c r="C10" s="8" t="n">
        <v>5.8</v>
      </c>
      <c r="D10" s="2" t="n"/>
      <c r="E10" s="7" t="inlineStr">
        <is>
          <t>Светофор</t>
        </is>
      </c>
      <c r="F10" s="9" t="n">
        <v>5.8</v>
      </c>
    </row>
    <row r="11">
      <c r="A11" s="7" t="inlineStr">
        <is>
          <t>ВкусВилл</t>
        </is>
      </c>
      <c r="B11" s="8" t="n">
        <v>358.6</v>
      </c>
      <c r="C11" s="8" t="n">
        <v>6.6</v>
      </c>
      <c r="D11" s="2" t="n"/>
      <c r="E11" s="7" t="inlineStr">
        <is>
          <t>ВкусВилл</t>
        </is>
      </c>
      <c r="F11" s="9" t="n">
        <v>6.6</v>
      </c>
    </row>
    <row r="12">
      <c r="A12" s="7" t="inlineStr">
        <is>
          <t>Fix Price</t>
        </is>
      </c>
      <c r="B12" s="8" t="n">
        <v>313.3</v>
      </c>
      <c r="C12" s="8" t="n">
        <v>11.2</v>
      </c>
      <c r="D12" s="2" t="n"/>
      <c r="E12" s="7" t="inlineStr">
        <is>
          <t>Fix Price</t>
        </is>
      </c>
      <c r="F12" s="9" t="n">
        <v>11.2</v>
      </c>
    </row>
    <row r="13">
      <c r="A13" s="7" t="inlineStr">
        <is>
          <t>METRO</t>
        </is>
      </c>
      <c r="B13" s="8" t="n">
        <v>260.3</v>
      </c>
      <c r="C13" s="8" t="n">
        <v>4.4</v>
      </c>
      <c r="D13" s="2" t="n"/>
      <c r="E13" s="7" t="inlineStr">
        <is>
          <t>METRO</t>
        </is>
      </c>
      <c r="F13" s="9" t="n">
        <v>4.4</v>
      </c>
    </row>
    <row r="14">
      <c r="A14" s="7" t="inlineStr">
        <is>
          <t>Ашан</t>
        </is>
      </c>
      <c r="B14" s="8" t="n">
        <v>250</v>
      </c>
      <c r="C14" s="10" t="inlineStr">
        <is>
          <t>н/д</t>
        </is>
      </c>
      <c r="D14" s="2" t="n"/>
      <c r="E14" s="7" t="inlineStr">
        <is>
          <t>О'КЕЙ</t>
        </is>
      </c>
      <c r="F14" s="9" t="n">
        <v>14.3</v>
      </c>
    </row>
    <row r="15">
      <c r="A15" s="7" t="inlineStr">
        <is>
          <t>О'КЕЙ</t>
        </is>
      </c>
      <c r="B15" s="8" t="n">
        <v>196</v>
      </c>
      <c r="C15" s="8" t="n">
        <v>14.3</v>
      </c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 ht="36" customHeight="1">
      <c r="A56" s="3" t="inlineStr">
        <is>
          <t>График ниже: 10 производителей еды и напитков с самой большой выручкой 2025 (рейтинг INFOLine).</t>
        </is>
      </c>
      <c r="B56" s="2" t="n"/>
      <c r="C56" s="2" t="n"/>
      <c r="D56" s="2" t="n"/>
      <c r="E56" s="2" t="n"/>
      <c r="F56" s="2" t="n"/>
    </row>
    <row r="57">
      <c r="A57" s="5" t="inlineStr">
        <is>
          <t>Производитель (подпись на графике)</t>
        </is>
      </c>
      <c r="B57" s="5" t="inlineStr">
        <is>
          <t>Выручка 2025, млрд ₽</t>
        </is>
      </c>
      <c r="C57" s="2" t="n"/>
      <c r="D57" s="2" t="n"/>
      <c r="E57" s="2" t="n"/>
      <c r="F57" s="2" t="n"/>
    </row>
    <row r="58">
      <c r="A58" s="7" t="inlineStr">
        <is>
          <t>PepsiCo Россия</t>
        </is>
      </c>
      <c r="B58" s="8" t="n">
        <v>398.8</v>
      </c>
      <c r="C58" s="2" t="n"/>
      <c r="D58" s="2" t="n"/>
      <c r="E58" s="2" t="n"/>
      <c r="F58" s="2" t="n"/>
    </row>
    <row r="59">
      <c r="A59" s="7" t="inlineStr">
        <is>
          <t>Русагро</t>
        </is>
      </c>
      <c r="B59" s="8" t="n">
        <v>396.5</v>
      </c>
      <c r="C59" s="2" t="n"/>
      <c r="D59" s="2" t="n"/>
      <c r="E59" s="2" t="n"/>
      <c r="F59" s="2" t="n"/>
    </row>
    <row r="60">
      <c r="A60" s="7" t="inlineStr">
        <is>
          <t>ЭФКО</t>
        </is>
      </c>
      <c r="B60" s="8" t="n">
        <v>344</v>
      </c>
      <c r="C60" s="2" t="n"/>
      <c r="D60" s="2" t="n"/>
      <c r="E60" s="2" t="n"/>
      <c r="F60" s="2" t="n"/>
    </row>
    <row r="61">
      <c r="A61" s="7" t="inlineStr">
        <is>
          <t>Мираторг</t>
        </is>
      </c>
      <c r="B61" s="8" t="n">
        <v>342.2</v>
      </c>
      <c r="C61" s="2" t="n"/>
      <c r="D61" s="2" t="n"/>
      <c r="E61" s="2" t="n"/>
      <c r="F61" s="2" t="n"/>
    </row>
    <row r="62">
      <c r="A62" s="7" t="inlineStr">
        <is>
          <t>KDV</t>
        </is>
      </c>
      <c r="B62" s="8" t="n">
        <v>308.1</v>
      </c>
      <c r="C62" s="2" t="n"/>
      <c r="D62" s="2" t="n"/>
      <c r="E62" s="2" t="n"/>
      <c r="F62" s="2" t="n"/>
    </row>
    <row r="63">
      <c r="A63" s="7" t="inlineStr">
        <is>
          <t>Черкизово</t>
        </is>
      </c>
      <c r="B63" s="8" t="n">
        <v>288.7</v>
      </c>
      <c r="C63" s="2" t="n"/>
      <c r="D63" s="2" t="n"/>
      <c r="E63" s="2" t="n"/>
      <c r="F63" s="2" t="n"/>
    </row>
    <row r="64">
      <c r="A64" s="7" t="inlineStr">
        <is>
          <t>ГАП Ресурс</t>
        </is>
      </c>
      <c r="B64" s="8" t="n">
        <v>287.5</v>
      </c>
      <c r="C64" s="2" t="n"/>
      <c r="D64" s="2" t="n"/>
      <c r="E64" s="2" t="n"/>
      <c r="F64" s="2" t="n"/>
    </row>
    <row r="65">
      <c r="A65" s="7" t="inlineStr">
        <is>
          <t>Nestlé Россия</t>
        </is>
      </c>
      <c r="B65" s="8" t="n">
        <v>257.6</v>
      </c>
      <c r="C65" s="2" t="n"/>
      <c r="D65" s="2" t="n"/>
      <c r="E65" s="2" t="n"/>
      <c r="F65" s="2" t="n"/>
    </row>
    <row r="66">
      <c r="A66" s="7" t="inlineStr">
        <is>
          <t>Mars Россия</t>
        </is>
      </c>
      <c r="B66" s="8" t="n">
        <v>235.1</v>
      </c>
      <c r="C66" s="2" t="n"/>
      <c r="D66" s="2" t="n"/>
      <c r="E66" s="2" t="n"/>
      <c r="F66" s="2" t="n"/>
    </row>
    <row r="67">
      <c r="A67" s="7" t="inlineStr">
        <is>
          <t>Агропромкомплектация</t>
        </is>
      </c>
      <c r="B67" s="8" t="n">
        <v>204.4</v>
      </c>
      <c r="C67" s="2" t="n"/>
      <c r="D67" s="2" t="n"/>
      <c r="E67" s="2" t="n"/>
      <c r="F67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H4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8" customHeight="1">
      <c r="A1" s="11" t="inlineStr">
        <is>
          <t>Самостоятельные сети. Одну компанию — одна строка. Пятёрочку здесь нет: она внутри X5, смотрите лист «Вывески внутри групп».</t>
        </is>
      </c>
      <c r="B1" s="2" t="n"/>
      <c r="C1" s="2" t="n"/>
      <c r="D1" s="2" t="n"/>
      <c r="E1" s="2" t="n"/>
      <c r="F1" s="2" t="n"/>
      <c r="G1" s="2" t="n"/>
      <c r="H1" s="2" t="n"/>
    </row>
    <row r="2" ht="36" customHeight="1">
      <c r="A2" s="12" t="inlineStr">
        <is>
          <t>Компания</t>
        </is>
      </c>
      <c r="B2" s="12" t="inlineStr">
        <is>
          <t>Тип / формат</t>
        </is>
      </c>
      <c r="C2" s="12" t="inlineStr">
        <is>
          <t>Выручка 2025, млрд ₽</t>
        </is>
      </c>
      <c r="D2" s="12" t="inlineStr">
        <is>
          <t>YoY, %</t>
        </is>
      </c>
      <c r="E2" s="12" t="inlineStr">
        <is>
          <t>Чистая прибыль 2025, млрд ₽</t>
        </is>
      </c>
      <c r="F2" s="12" t="inlineStr">
        <is>
          <t>Чистый долг, млрд ₽</t>
        </is>
      </c>
      <c r="G2" s="12" t="inlineStr">
        <is>
          <t>Магазины / заводы, шт</t>
        </is>
      </c>
      <c r="H2" s="12" t="inlineStr">
        <is>
          <t>Доля рынка Food, %</t>
        </is>
      </c>
    </row>
    <row r="3" ht="36" customHeight="1">
      <c r="A3" s="13" t="inlineStr">
        <is>
          <t>X5 Group (Пятёрочка, Перекрёсток, Чижик)</t>
        </is>
      </c>
      <c r="B3" s="13" t="inlineStr">
        <is>
          <t>у дома / супер / хард-дискаунтер / e-grocery</t>
        </is>
      </c>
      <c r="C3" s="14" t="n">
        <v>4642</v>
      </c>
      <c r="D3" s="15" t="n">
        <v>18.8</v>
      </c>
      <c r="E3" s="14" t="n">
        <v>94.8</v>
      </c>
      <c r="F3" s="14" t="n">
        <v>228.5</v>
      </c>
      <c r="G3" s="16" t="n">
        <v>29790</v>
      </c>
      <c r="H3" s="15" t="n">
        <v>16.6</v>
      </c>
    </row>
    <row r="4" ht="36" customHeight="1">
      <c r="A4" s="17" t="inlineStr">
        <is>
          <t>Магнит (вкл. Дикси, Самбери, Азбука вкуса)</t>
        </is>
      </c>
      <c r="B4" s="17" t="inlineStr">
        <is>
          <t>у дома / супер / гипер / косметик / e-com</t>
        </is>
      </c>
      <c r="C4" s="18" t="n">
        <v>3509.2</v>
      </c>
      <c r="D4" s="19" t="n">
        <v>15.3</v>
      </c>
      <c r="E4" s="18" t="n">
        <v>-16.6</v>
      </c>
      <c r="F4" s="18" t="n">
        <v>496</v>
      </c>
      <c r="G4" s="20" t="n">
        <v>33440</v>
      </c>
      <c r="H4" s="19" t="n">
        <v>12.3</v>
      </c>
    </row>
    <row r="5" ht="36" customHeight="1">
      <c r="A5" s="13" t="inlineStr">
        <is>
          <t>Mercury Retail (Красное &amp; Белое, Бристоль)</t>
        </is>
      </c>
      <c r="B5" s="13" t="inlineStr">
        <is>
          <t>алкоголь / у дома</t>
        </is>
      </c>
      <c r="C5" s="14" t="n">
        <v>1660</v>
      </c>
      <c r="D5" s="15" t="n">
        <v>20</v>
      </c>
      <c r="E5" s="14" t="n">
        <v>54.5</v>
      </c>
      <c r="F5" s="21" t="inlineStr">
        <is>
          <t>н/д</t>
        </is>
      </c>
      <c r="G5" s="16" t="n">
        <v>28000</v>
      </c>
      <c r="H5" s="21" t="inlineStr">
        <is>
          <t>н/д</t>
        </is>
      </c>
    </row>
    <row r="6" ht="36" customHeight="1">
      <c r="A6" s="17" t="inlineStr">
        <is>
          <t>Группа Лента (Гипер/Супер Лента, Монетка, Улыбка радуги, Реми)</t>
        </is>
      </c>
      <c r="B6" s="17" t="inlineStr">
        <is>
          <t>гипер / супер / у дома / дрогери</t>
        </is>
      </c>
      <c r="C6" s="18" t="n">
        <v>1103.7</v>
      </c>
      <c r="D6" s="19" t="n">
        <v>24.2</v>
      </c>
      <c r="E6" s="18" t="n">
        <v>38.2</v>
      </c>
      <c r="F6" s="18" t="n">
        <v>48.8</v>
      </c>
      <c r="G6" s="20" t="n">
        <v>6760</v>
      </c>
      <c r="H6" s="22" t="inlineStr">
        <is>
          <t>н/д</t>
        </is>
      </c>
    </row>
    <row r="7" ht="36" customHeight="1">
      <c r="A7" s="13" t="inlineStr">
        <is>
          <t>Светофор / Маяк (ГК Торгсервис)</t>
        </is>
      </c>
      <c r="B7" s="13" t="inlineStr">
        <is>
          <t>хард-дискаунтер</t>
        </is>
      </c>
      <c r="C7" s="14" t="n">
        <v>394.43</v>
      </c>
      <c r="D7" s="15" t="n">
        <v>-3</v>
      </c>
      <c r="E7" s="14" t="n">
        <v>5.8</v>
      </c>
      <c r="F7" s="21" t="inlineStr">
        <is>
          <t>н/д</t>
        </is>
      </c>
      <c r="G7" s="16" t="n">
        <v>2405</v>
      </c>
      <c r="H7" s="21" t="inlineStr">
        <is>
          <t>н/д</t>
        </is>
      </c>
    </row>
    <row r="8" ht="36" customHeight="1">
      <c r="A8" s="17" t="inlineStr">
        <is>
          <t>ВкусВилл</t>
        </is>
      </c>
      <c r="B8" s="17" t="inlineStr">
        <is>
          <t>у дома / dark store / e-grocery</t>
        </is>
      </c>
      <c r="C8" s="18" t="n">
        <v>358.6</v>
      </c>
      <c r="D8" s="19" t="n">
        <v>9.699999999999999</v>
      </c>
      <c r="E8" s="18" t="n">
        <v>6.6</v>
      </c>
      <c r="F8" s="22" t="inlineStr">
        <is>
          <t>н/д</t>
        </is>
      </c>
      <c r="G8" s="20" t="n">
        <v>1973</v>
      </c>
      <c r="H8" s="22" t="inlineStr">
        <is>
          <t>н/д</t>
        </is>
      </c>
    </row>
    <row r="9" ht="36" customHeight="1">
      <c r="A9" s="13" t="inlineStr">
        <is>
          <t>Fix Price</t>
        </is>
      </c>
      <c r="B9" s="13" t="inlineStr">
        <is>
          <t>value-ритейл, смешанный FMCG</t>
        </is>
      </c>
      <c r="C9" s="14" t="n">
        <v>313.3</v>
      </c>
      <c r="D9" s="15" t="n">
        <v>4.3</v>
      </c>
      <c r="E9" s="14" t="n">
        <v>11.18</v>
      </c>
      <c r="F9" s="21" t="inlineStr">
        <is>
          <t>н/д</t>
        </is>
      </c>
      <c r="G9" s="16" t="n">
        <v>7818</v>
      </c>
      <c r="H9" s="21" t="inlineStr">
        <is>
          <t>н/д</t>
        </is>
      </c>
    </row>
    <row r="10" ht="36" customHeight="1">
      <c r="A10" s="17" t="inlineStr">
        <is>
          <t>Самокат</t>
        </is>
      </c>
      <c r="B10" s="17" t="inlineStr">
        <is>
          <t>e-grocery / dark store</t>
        </is>
      </c>
      <c r="C10" s="18" t="n">
        <v>279.3</v>
      </c>
      <c r="D10" s="19" t="n">
        <v>12.3</v>
      </c>
      <c r="E10" s="22" t="inlineStr">
        <is>
          <t>н/д</t>
        </is>
      </c>
      <c r="F10" s="22" t="inlineStr">
        <is>
          <t>н/д</t>
        </is>
      </c>
      <c r="G10" s="20" t="n">
        <v>2400</v>
      </c>
      <c r="H10" s="22" t="inlineStr">
        <is>
          <t>н/д</t>
        </is>
      </c>
    </row>
    <row r="11" ht="36" customHeight="1">
      <c r="A11" s="13" t="inlineStr">
        <is>
          <t>METRO Россия</t>
        </is>
      </c>
      <c r="B11" s="13" t="inlineStr">
        <is>
          <t>cash&amp;carry / гипер</t>
        </is>
      </c>
      <c r="C11" s="14" t="n">
        <v>260.3</v>
      </c>
      <c r="D11" s="15" t="n">
        <v>5</v>
      </c>
      <c r="E11" s="14" t="n">
        <v>4.4</v>
      </c>
      <c r="F11" s="21" t="inlineStr">
        <is>
          <t>н/д</t>
        </is>
      </c>
      <c r="G11" s="16" t="n">
        <v>91</v>
      </c>
      <c r="H11" s="21" t="inlineStr">
        <is>
          <t>н/д</t>
        </is>
      </c>
    </row>
    <row r="12" ht="36" customHeight="1">
      <c r="A12" s="17" t="inlineStr">
        <is>
          <t>АШАН Ритейл Россия</t>
        </is>
      </c>
      <c r="B12" s="17" t="inlineStr">
        <is>
          <t>гипер / супер</t>
        </is>
      </c>
      <c r="C12" s="18" t="n">
        <v>250</v>
      </c>
      <c r="D12" s="19" t="n">
        <v>-10</v>
      </c>
      <c r="E12" s="22" t="inlineStr">
        <is>
          <t>н/д</t>
        </is>
      </c>
      <c r="F12" s="22" t="inlineStr">
        <is>
          <t>н/д</t>
        </is>
      </c>
      <c r="G12" s="20" t="n">
        <v>231</v>
      </c>
      <c r="H12" s="22" t="inlineStr">
        <is>
          <t>н/д</t>
        </is>
      </c>
    </row>
    <row r="13" ht="36" customHeight="1">
      <c r="A13" s="13" t="inlineStr">
        <is>
          <t>Ozon + Ozon Fresh</t>
        </is>
      </c>
      <c r="B13" s="13" t="inlineStr">
        <is>
          <t>e-grocery / маркетплейс</t>
        </is>
      </c>
      <c r="C13" s="14" t="n">
        <v>207.2</v>
      </c>
      <c r="D13" s="15" t="n">
        <v>61.1</v>
      </c>
      <c r="E13" s="21" t="inlineStr">
        <is>
          <t>н/д</t>
        </is>
      </c>
      <c r="F13" s="21" t="inlineStr">
        <is>
          <t>н/д</t>
        </is>
      </c>
      <c r="G13" s="21" t="inlineStr">
        <is>
          <t>н/д</t>
        </is>
      </c>
      <c r="H13" s="21" t="inlineStr">
        <is>
          <t>н/д</t>
        </is>
      </c>
    </row>
    <row r="14" ht="36" customHeight="1">
      <c r="A14" s="17" t="inlineStr">
        <is>
          <t>Яндекс Лавка</t>
        </is>
      </c>
      <c r="B14" s="17" t="inlineStr">
        <is>
          <t>e-grocery / dark store</t>
        </is>
      </c>
      <c r="C14" s="18" t="n">
        <v>203.1</v>
      </c>
      <c r="D14" s="19" t="n">
        <v>42.4</v>
      </c>
      <c r="E14" s="22" t="inlineStr">
        <is>
          <t>н/д</t>
        </is>
      </c>
      <c r="F14" s="22" t="inlineStr">
        <is>
          <t>н/д</t>
        </is>
      </c>
      <c r="G14" s="20" t="n">
        <v>716</v>
      </c>
      <c r="H14" s="22" t="inlineStr">
        <is>
          <t>н/д</t>
        </is>
      </c>
    </row>
    <row r="15" ht="36" customHeight="1">
      <c r="A15" s="13" t="inlineStr">
        <is>
          <t>ГК О'КЕЙ / Да!</t>
        </is>
      </c>
      <c r="B15" s="13" t="inlineStr">
        <is>
          <t>гипер продан / дискаунтер Да!</t>
        </is>
      </c>
      <c r="C15" s="14" t="n">
        <v>196</v>
      </c>
      <c r="D15" s="15" t="n">
        <v>-11</v>
      </c>
      <c r="E15" s="14" t="n">
        <v>14.3</v>
      </c>
      <c r="F15" s="21" t="inlineStr">
        <is>
          <t>н/д</t>
        </is>
      </c>
      <c r="G15" s="21" t="inlineStr">
        <is>
          <t>н/д</t>
        </is>
      </c>
      <c r="H15" s="21" t="inlineStr">
        <is>
          <t>н/д</t>
        </is>
      </c>
    </row>
    <row r="16" ht="36" customHeight="1">
      <c r="A16" s="17" t="inlineStr">
        <is>
          <t>ТС Победа / Гулливер / Народный амбар (ТК Лето)</t>
        </is>
      </c>
      <c r="B16" s="17" t="inlineStr">
        <is>
          <t>у дома / супер, Поволжье</t>
        </is>
      </c>
      <c r="C16" s="18" t="n">
        <v>176</v>
      </c>
      <c r="D16" s="19" t="n">
        <v>26</v>
      </c>
      <c r="E16" s="23" t="n">
        <v>0.2</v>
      </c>
      <c r="F16" s="22" t="inlineStr">
        <is>
          <t>н/д</t>
        </is>
      </c>
      <c r="G16" s="22" t="inlineStr">
        <is>
          <t>н/д</t>
        </is>
      </c>
      <c r="H16" s="22" t="inlineStr">
        <is>
          <t>н/д</t>
        </is>
      </c>
    </row>
    <row r="17" ht="36" customHeight="1">
      <c r="A17" s="13" t="inlineStr">
        <is>
          <t>Ярче! (Камелот-А, Томск)</t>
        </is>
      </c>
      <c r="B17" s="13" t="inlineStr">
        <is>
          <t>у дома / супер, Сибирь</t>
        </is>
      </c>
      <c r="C17" s="14" t="n">
        <v>168.3</v>
      </c>
      <c r="D17" s="15" t="n">
        <v>28</v>
      </c>
      <c r="E17" s="14" t="n">
        <v>-4</v>
      </c>
      <c r="F17" s="21" t="inlineStr">
        <is>
          <t>н/д</t>
        </is>
      </c>
      <c r="G17" s="21" t="inlineStr">
        <is>
          <t>н/д</t>
        </is>
      </c>
      <c r="H17" s="21" t="inlineStr">
        <is>
          <t>н/д</t>
        </is>
      </c>
    </row>
    <row r="18" ht="36" customHeight="1">
      <c r="A18" s="17" t="inlineStr">
        <is>
          <t>Гиперглобус (Globus)</t>
        </is>
      </c>
      <c r="B18" s="17" t="inlineStr">
        <is>
          <t>гипер</t>
        </is>
      </c>
      <c r="C18" s="18" t="n">
        <v>165.6</v>
      </c>
      <c r="D18" s="19" t="n">
        <v>5.4</v>
      </c>
      <c r="E18" s="18" t="n">
        <v>7.4</v>
      </c>
      <c r="F18" s="22" t="inlineStr">
        <is>
          <t>н/д</t>
        </is>
      </c>
      <c r="G18" s="20" t="n">
        <v>20</v>
      </c>
      <c r="H18" s="22" t="inlineStr">
        <is>
          <t>н/д</t>
        </is>
      </c>
    </row>
    <row r="19" ht="36" customHeight="1">
      <c r="A19" s="13" t="inlineStr">
        <is>
          <t>Верный (Союз Святого Иоанна Воина)</t>
        </is>
      </c>
      <c r="B19" s="13" t="inlineStr">
        <is>
          <t>у дома, ЦФО</t>
        </is>
      </c>
      <c r="C19" s="14" t="n">
        <v>154.4</v>
      </c>
      <c r="D19" s="15" t="n">
        <v>12.7</v>
      </c>
      <c r="E19" s="24" t="n">
        <v>0.0214</v>
      </c>
      <c r="F19" s="21" t="inlineStr">
        <is>
          <t>н/д</t>
        </is>
      </c>
      <c r="G19" s="16" t="n">
        <v>1000</v>
      </c>
      <c r="H19" s="21" t="inlineStr">
        <is>
          <t>н/д</t>
        </is>
      </c>
    </row>
    <row r="20" ht="36" customHeight="1">
      <c r="A20" s="17" t="inlineStr">
        <is>
          <t>SPAR Миддл Волга (SPAR, EUROSPAR)</t>
        </is>
      </c>
      <c r="B20" s="17" t="inlineStr">
        <is>
          <t>супер / у дома</t>
        </is>
      </c>
      <c r="C20" s="18" t="n">
        <v>136.3</v>
      </c>
      <c r="D20" s="19" t="n">
        <v>6.1</v>
      </c>
      <c r="E20" s="23" t="n">
        <v>0.229</v>
      </c>
      <c r="F20" s="22" t="inlineStr">
        <is>
          <t>н/д</t>
        </is>
      </c>
      <c r="G20" s="20" t="n">
        <v>142</v>
      </c>
      <c r="H20" s="22" t="inlineStr">
        <is>
          <t>н/д</t>
        </is>
      </c>
    </row>
    <row r="21" ht="36" customHeight="1">
      <c r="A21" s="13" t="inlineStr">
        <is>
          <t>Мария-Ра (Розница К-1)</t>
        </is>
      </c>
      <c r="B21" s="13" t="inlineStr">
        <is>
          <t>у дома / супер, Сибирь</t>
        </is>
      </c>
      <c r="C21" s="14" t="n">
        <v>127.6</v>
      </c>
      <c r="D21" s="15" t="n">
        <v>6</v>
      </c>
      <c r="E21" s="14" t="n">
        <v>2.7</v>
      </c>
      <c r="F21" s="21" t="inlineStr">
        <is>
          <t>н/д</t>
        </is>
      </c>
      <c r="G21" s="16" t="n">
        <v>1303</v>
      </c>
      <c r="H21" s="21" t="inlineStr">
        <is>
          <t>н/д</t>
        </is>
      </c>
    </row>
    <row r="22" ht="36" customHeight="1">
      <c r="A22" s="17" t="inlineStr">
        <is>
          <t>Ермолино (оценка INFOLine, производство + своя розница)</t>
        </is>
      </c>
      <c r="B22" s="17" t="inlineStr">
        <is>
          <t>у дома / производство+розница</t>
        </is>
      </c>
      <c r="C22" s="18" t="n">
        <v>111.1</v>
      </c>
      <c r="D22" s="22" t="inlineStr">
        <is>
          <t>н/д</t>
        </is>
      </c>
      <c r="E22" s="22" t="inlineStr">
        <is>
          <t>н/д</t>
        </is>
      </c>
      <c r="F22" s="22" t="inlineStr">
        <is>
          <t>н/д</t>
        </is>
      </c>
      <c r="G22" s="20" t="n">
        <v>3005</v>
      </c>
      <c r="H22" s="22" t="inlineStr">
        <is>
          <t>н/д</t>
        </is>
      </c>
    </row>
    <row r="23" ht="36" customHeight="1">
      <c r="A23" s="13" t="inlineStr">
        <is>
          <t>ГК Командор (Командор, Аллея, Хороший)</t>
        </is>
      </c>
      <c r="B23" s="13" t="inlineStr">
        <is>
          <t>супер / гипер / дискаунтер, Красноярск</t>
        </is>
      </c>
      <c r="C23" s="14" t="n">
        <v>100</v>
      </c>
      <c r="D23" s="15" t="n">
        <v>12</v>
      </c>
      <c r="E23" s="14" t="n">
        <v>1.7</v>
      </c>
      <c r="F23" s="21" t="inlineStr">
        <is>
          <t>н/д</t>
        </is>
      </c>
      <c r="G23" s="16" t="n">
        <v>477</v>
      </c>
      <c r="H23" s="21" t="inlineStr">
        <is>
          <t>н/д</t>
        </is>
      </c>
    </row>
    <row r="24" ht="36" customHeight="1">
      <c r="A24" s="17" t="inlineStr">
        <is>
          <t>Винлаб (ПАО ВинЛаб / Novabev)</t>
        </is>
      </c>
      <c r="B24" s="17" t="inlineStr">
        <is>
          <t>алкоголь</t>
        </is>
      </c>
      <c r="C24" s="18" t="n">
        <v>95.09999999999999</v>
      </c>
      <c r="D24" s="19" t="n">
        <v>9</v>
      </c>
      <c r="E24" s="18" t="n">
        <v>3.5</v>
      </c>
      <c r="F24" s="18" t="n">
        <v>-6.5</v>
      </c>
      <c r="G24" s="20" t="n">
        <v>2175</v>
      </c>
      <c r="H24" s="22" t="inlineStr">
        <is>
          <t>н/д</t>
        </is>
      </c>
    </row>
    <row r="25" ht="36" customHeight="1">
      <c r="A25" s="13" t="inlineStr">
        <is>
          <t>Находка (ООО Табыш)</t>
        </is>
      </c>
      <c r="B25" s="13" t="inlineStr">
        <is>
          <t>хард-дискаунтер, Поволжье</t>
        </is>
      </c>
      <c r="C25" s="14" t="n">
        <v>81.7</v>
      </c>
      <c r="D25" s="15" t="n">
        <v>22.8</v>
      </c>
      <c r="E25" s="21" t="inlineStr">
        <is>
          <t>н/д</t>
        </is>
      </c>
      <c r="F25" s="21" t="inlineStr">
        <is>
          <t>н/д</t>
        </is>
      </c>
      <c r="G25" s="16" t="n">
        <v>370</v>
      </c>
      <c r="H25" s="21" t="inlineStr">
        <is>
          <t>н/д</t>
        </is>
      </c>
    </row>
    <row r="26" ht="36" customHeight="1">
      <c r="A26" s="17" t="inlineStr">
        <is>
          <t>Семишагофф (ООО ТК Прогресс)</t>
        </is>
      </c>
      <c r="B26" s="17" t="inlineStr">
        <is>
          <t>хард-дискаунтер, СЗФО</t>
        </is>
      </c>
      <c r="C26" s="18" t="n">
        <v>70.67</v>
      </c>
      <c r="D26" s="19" t="n">
        <v>29</v>
      </c>
      <c r="E26" s="23" t="n">
        <v>0.954</v>
      </c>
      <c r="F26" s="22" t="inlineStr">
        <is>
          <t>н/д</t>
        </is>
      </c>
      <c r="G26" s="20" t="n">
        <v>188</v>
      </c>
      <c r="H26" s="22" t="inlineStr">
        <is>
          <t>н/д</t>
        </is>
      </c>
    </row>
    <row r="27" ht="36" customHeight="1">
      <c r="A27" s="13" t="inlineStr">
        <is>
          <t>Авокадо (франшиза ГК Сладкая жизнь)</t>
        </is>
      </c>
      <c r="B27" s="13" t="inlineStr">
        <is>
          <t>франчайзи у дома</t>
        </is>
      </c>
      <c r="C27" s="14" t="n">
        <v>65.69</v>
      </c>
      <c r="D27" s="15" t="n">
        <v>4.7</v>
      </c>
      <c r="E27" s="21" t="inlineStr">
        <is>
          <t>н/д</t>
        </is>
      </c>
      <c r="F27" s="21" t="inlineStr">
        <is>
          <t>н/д</t>
        </is>
      </c>
      <c r="G27" s="21" t="inlineStr">
        <is>
          <t>н/д</t>
        </is>
      </c>
      <c r="H27" s="21" t="inlineStr">
        <is>
          <t>н/д</t>
        </is>
      </c>
    </row>
    <row r="28" ht="36" customHeight="1">
      <c r="A28" s="17" t="inlineStr">
        <is>
          <t>Линия (ООО Гипермаркет Линия / Гринн)</t>
        </is>
      </c>
      <c r="B28" s="17" t="inlineStr">
        <is>
          <t>гипер, Черноземье</t>
        </is>
      </c>
      <c r="C28" s="18" t="n">
        <v>44</v>
      </c>
      <c r="D28" s="19" t="n">
        <v>6.7</v>
      </c>
      <c r="E28" s="18" t="n">
        <v>2.41</v>
      </c>
      <c r="F28" s="22" t="inlineStr">
        <is>
          <t>н/д</t>
        </is>
      </c>
      <c r="G28" s="20" t="n">
        <v>18</v>
      </c>
      <c r="H28" s="22" t="inlineStr">
        <is>
          <t>н/д</t>
        </is>
      </c>
    </row>
    <row r="29" ht="36" customHeight="1">
      <c r="A29" s="13" t="inlineStr">
        <is>
          <t>Лама (SPAR / Первоцен / F City; сумма 4 юрлиц)</t>
        </is>
      </c>
      <c r="B29" s="13" t="inlineStr">
        <is>
          <t>супер / у дома, Томск–Новосибирск</t>
        </is>
      </c>
      <c r="C29" s="14" t="n">
        <v>32.31</v>
      </c>
      <c r="D29" s="15" t="n">
        <v>8.5</v>
      </c>
      <c r="E29" s="24" t="n">
        <v>0.335</v>
      </c>
      <c r="F29" s="21" t="inlineStr">
        <is>
          <t>н/д</t>
        </is>
      </c>
      <c r="G29" s="21" t="inlineStr">
        <is>
          <t>н/д</t>
        </is>
      </c>
      <c r="H29" s="21" t="inlineStr">
        <is>
          <t>н/д</t>
        </is>
      </c>
    </row>
    <row r="30" ht="36" customHeight="1">
      <c r="A30" s="17" t="inlineStr">
        <is>
          <t>Аникс (ТС Аникс + Прайд-А)</t>
        </is>
      </c>
      <c r="B30" s="17" t="inlineStr">
        <is>
          <t>у дома, Алтай</t>
        </is>
      </c>
      <c r="C30" s="18" t="n">
        <v>31.3</v>
      </c>
      <c r="D30" s="19" t="n">
        <v>9.4</v>
      </c>
      <c r="E30" s="23" t="n">
        <v>0.414</v>
      </c>
      <c r="F30" s="22" t="inlineStr">
        <is>
          <t>н/д</t>
        </is>
      </c>
      <c r="G30" s="22" t="inlineStr">
        <is>
          <t>н/д</t>
        </is>
      </c>
      <c r="H30" s="22" t="inlineStr">
        <is>
          <t>н/д</t>
        </is>
      </c>
    </row>
    <row r="31" ht="36" customHeight="1">
      <c r="A31" s="13" t="inlineStr">
        <is>
          <t>Европа (ООО Европа, Курск)</t>
        </is>
      </c>
      <c r="B31" s="13" t="inlineStr">
        <is>
          <t>гипер / супер, Черноземье</t>
        </is>
      </c>
      <c r="C31" s="14" t="n">
        <v>31</v>
      </c>
      <c r="D31" s="15" t="n">
        <v>3</v>
      </c>
      <c r="E31" s="14" t="n">
        <v>1.1</v>
      </c>
      <c r="F31" s="21" t="inlineStr">
        <is>
          <t>н/д</t>
        </is>
      </c>
      <c r="G31" s="21" t="inlineStr">
        <is>
          <t>н/д</t>
        </is>
      </c>
      <c r="H31" s="21" t="inlineStr">
        <is>
          <t>н/д</t>
        </is>
      </c>
    </row>
    <row r="32" ht="36" customHeight="1">
      <c r="A32" s="17" t="inlineStr">
        <is>
          <t>Бегемаг (ООО Универсамы Бегемаг)</t>
        </is>
      </c>
      <c r="B32" s="17" t="inlineStr">
        <is>
          <t>у дома / SPAR, Кузбасс</t>
        </is>
      </c>
      <c r="C32" s="18" t="n">
        <v>12.87</v>
      </c>
      <c r="D32" s="19" t="n">
        <v>1.3</v>
      </c>
      <c r="E32" s="23" t="n">
        <v>0.0653</v>
      </c>
      <c r="F32" s="22" t="inlineStr">
        <is>
          <t>н/д</t>
        </is>
      </c>
      <c r="G32" s="22" t="inlineStr">
        <is>
          <t>н/д</t>
        </is>
      </c>
      <c r="H32" s="22" t="inlineStr">
        <is>
          <t>н/д</t>
        </is>
      </c>
    </row>
    <row r="33" ht="36" customHeight="1">
      <c r="A33" s="13" t="inlineStr">
        <is>
          <t>Низкоцен (ООО Холлифуд)</t>
        </is>
      </c>
      <c r="B33" s="13" t="inlineStr">
        <is>
          <t>хард-дискаунтер, Сибирь/Урал</t>
        </is>
      </c>
      <c r="C33" s="14" t="n">
        <v>9.5</v>
      </c>
      <c r="D33" s="15" t="n">
        <v>-2</v>
      </c>
      <c r="E33" s="24" t="n">
        <v>0.0613</v>
      </c>
      <c r="F33" s="21" t="inlineStr">
        <is>
          <t>н/д</t>
        </is>
      </c>
      <c r="G33" s="21" t="inlineStr">
        <is>
          <t>н/д</t>
        </is>
      </c>
      <c r="H33" s="21" t="inlineStr">
        <is>
          <t>н/д</t>
        </is>
      </c>
    </row>
    <row r="34" ht="36" customHeight="1">
      <c r="A34" s="17" t="inlineStr">
        <is>
          <t>Победа Омск (ООО Формат; не ТК Лето)</t>
        </is>
      </c>
      <c r="B34" s="17" t="inlineStr">
        <is>
          <t>у дома / дискаунтер, Омск</t>
        </is>
      </c>
      <c r="C34" s="18" t="n">
        <v>8</v>
      </c>
      <c r="D34" s="22" t="inlineStr">
        <is>
          <t>н/д</t>
        </is>
      </c>
      <c r="E34" s="23" t="n">
        <v>0.202</v>
      </c>
      <c r="F34" s="22" t="inlineStr">
        <is>
          <t>н/д</t>
        </is>
      </c>
      <c r="G34" s="22" t="inlineStr">
        <is>
          <t>н/д</t>
        </is>
      </c>
      <c r="H34" s="22" t="inlineStr">
        <is>
          <t>н/д</t>
        </is>
      </c>
    </row>
    <row r="35" ht="36" customHeight="1">
      <c r="A35" s="13" t="inlineStr">
        <is>
          <t>Доброцен (одно юрлицо, не вся сеть)</t>
        </is>
      </c>
      <c r="B35" s="13" t="inlineStr">
        <is>
          <t>хард-дискаунтер</t>
        </is>
      </c>
      <c r="C35" s="14" t="n">
        <v>6.3</v>
      </c>
      <c r="D35" s="15" t="n">
        <v>-26</v>
      </c>
      <c r="E35" s="24" t="n">
        <v>-0.013</v>
      </c>
      <c r="F35" s="21" t="inlineStr">
        <is>
          <t>н/д</t>
        </is>
      </c>
      <c r="G35" s="21" t="inlineStr">
        <is>
          <t>н/д</t>
        </is>
      </c>
      <c r="H35" s="21" t="inlineStr">
        <is>
          <t>н/д</t>
        </is>
      </c>
    </row>
    <row r="36" ht="36" customHeight="1">
      <c r="A36" s="17" t="inlineStr">
        <is>
          <t>Быстроном (ООО Мегаторг)</t>
        </is>
      </c>
      <c r="B36" s="17" t="inlineStr">
        <is>
          <t>у дома, Новосибирск</t>
        </is>
      </c>
      <c r="C36" s="18" t="n">
        <v>4.9</v>
      </c>
      <c r="D36" s="19" t="n">
        <v>4</v>
      </c>
      <c r="E36" s="23" t="n">
        <v>0.0063</v>
      </c>
      <c r="F36" s="22" t="inlineStr">
        <is>
          <t>н/д</t>
        </is>
      </c>
      <c r="G36" s="22" t="inlineStr">
        <is>
          <t>н/д</t>
        </is>
      </c>
      <c r="H36" s="22" t="inlineStr">
        <is>
          <t>н/д</t>
        </is>
      </c>
    </row>
    <row r="37" ht="36" customHeight="1">
      <c r="A37" s="13" t="inlineStr">
        <is>
          <t>Бахетле (ООО Бахетле-1, Татарстан)</t>
        </is>
      </c>
      <c r="B37" s="13" t="inlineStr">
        <is>
          <t>супер, Татарстан</t>
        </is>
      </c>
      <c r="C37" s="14" t="n">
        <v>4.64</v>
      </c>
      <c r="D37" s="15" t="n">
        <v>0.1</v>
      </c>
      <c r="E37" s="24" t="n">
        <v>0.0097</v>
      </c>
      <c r="F37" s="21" t="inlineStr">
        <is>
          <t>н/д</t>
        </is>
      </c>
      <c r="G37" s="21" t="inlineStr">
        <is>
          <t>н/д</t>
        </is>
      </c>
      <c r="H37" s="21" t="inlineStr">
        <is>
          <t>н/д</t>
        </is>
      </c>
    </row>
    <row r="38" ht="36" customHeight="1">
      <c r="A38" s="17" t="inlineStr">
        <is>
          <t>Бахетле Новосибирск (ООО Гастромаркет)</t>
        </is>
      </c>
      <c r="B38" s="17" t="inlineStr">
        <is>
          <t>супер, Новосибирск</t>
        </is>
      </c>
      <c r="C38" s="18" t="n">
        <v>3.4</v>
      </c>
      <c r="D38" s="19" t="n">
        <v>-5</v>
      </c>
      <c r="E38" s="23" t="n">
        <v>4.5e-05</v>
      </c>
      <c r="F38" s="22" t="inlineStr">
        <is>
          <t>н/д</t>
        </is>
      </c>
      <c r="G38" s="22" t="inlineStr">
        <is>
          <t>н/д</t>
        </is>
      </c>
      <c r="H38" s="22" t="inlineStr">
        <is>
          <t>н/д</t>
        </is>
      </c>
    </row>
    <row r="39" ht="36" customHeight="1">
      <c r="A39" s="13" t="inlineStr">
        <is>
          <t>Макси (юрлицо, Вологда)</t>
        </is>
      </c>
      <c r="B39" s="13" t="inlineStr">
        <is>
          <t>гипер / супер, СЗФО</t>
        </is>
      </c>
      <c r="C39" s="14" t="n">
        <v>2.42</v>
      </c>
      <c r="D39" s="15" t="n">
        <v>19.1</v>
      </c>
      <c r="E39" s="24" t="n">
        <v>-0.008399999999999999</v>
      </c>
      <c r="F39" s="21" t="inlineStr">
        <is>
          <t>н/д</t>
        </is>
      </c>
      <c r="G39" s="21" t="inlineStr">
        <is>
          <t>н/д</t>
        </is>
      </c>
      <c r="H39" s="21" t="inlineStr">
        <is>
          <t>н/д</t>
        </is>
      </c>
    </row>
    <row r="40" ht="36" customHeight="1">
      <c r="A40" s="17" t="inlineStr">
        <is>
          <t>Добрянка (ООО Русская поварня)</t>
        </is>
      </c>
      <c r="B40" s="17" t="inlineStr">
        <is>
          <t>супер, регионы</t>
        </is>
      </c>
      <c r="C40" s="18" t="n">
        <v>2.4</v>
      </c>
      <c r="D40" s="22" t="inlineStr">
        <is>
          <t>н/д</t>
        </is>
      </c>
      <c r="E40" s="23" t="n">
        <v>0.0011</v>
      </c>
      <c r="F40" s="22" t="inlineStr">
        <is>
          <t>н/д</t>
        </is>
      </c>
      <c r="G40" s="22" t="inlineStr">
        <is>
          <t>н/д</t>
        </is>
      </c>
      <c r="H40" s="22" t="inlineStr">
        <is>
          <t>н/д</t>
        </is>
      </c>
    </row>
    <row r="41" ht="36" customHeight="1">
      <c r="A41" s="13" t="inlineStr">
        <is>
          <t>Форне (ООО Форне Кондитер)</t>
        </is>
      </c>
      <c r="B41" s="13" t="inlineStr">
        <is>
          <t>кондитерская розница, Бийск</t>
        </is>
      </c>
      <c r="C41" s="24" t="n">
        <v>0.93</v>
      </c>
      <c r="D41" s="15" t="n">
        <v>14</v>
      </c>
      <c r="E41" s="24" t="n">
        <v>0.0819</v>
      </c>
      <c r="F41" s="21" t="inlineStr">
        <is>
          <t>н/д</t>
        </is>
      </c>
      <c r="G41" s="21" t="inlineStr">
        <is>
          <t>н/д</t>
        </is>
      </c>
      <c r="H41" s="21" t="inlineStr">
        <is>
          <t>н/д</t>
        </is>
      </c>
    </row>
  </sheetData>
  <autoFilter ref="A2:H41"/>
  <conditionalFormatting sqref="E3:E41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9A825"/>
    <outlinePr summaryBelow="1" summaryRight="1"/>
    <pageSetUpPr fitToPage="1"/>
  </sheetPr>
  <dimension ref="A1:H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4" customHeight="1">
      <c r="A1" s="1" t="inlineStr">
        <is>
          <t>Это не отдельные сети</t>
        </is>
      </c>
      <c r="B1" s="2" t="n"/>
      <c r="C1" s="2" t="n"/>
      <c r="D1" s="2" t="n"/>
      <c r="E1" s="2" t="n"/>
      <c r="F1" s="2" t="n"/>
      <c r="G1" s="2" t="n"/>
      <c r="H1" s="2" t="n"/>
    </row>
    <row r="2" ht="56" customHeight="1">
      <c r="A2" s="4" t="inlineStr">
        <is>
          <t>Пятёрочка уже посчитана внутри X5 (4 642 млрд). Чижик — тоже X5. «Альфа-М» — это юрлицо «Красного &amp; Белого», оно уже внутри Mercury (1 660 млрд). «Азбука вкуса» с 2025 принадлежит Магниту. Складывать эти строки с холдингом = посчитать одни магазины дважды. Зачем лист тогда: чтобы видеть формат на полке (Чижик vs Светофор) и канал (онлайн X5, онлайн ВкусВилл).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36" customHeight="1">
      <c r="A4" s="12" t="inlineStr">
        <is>
          <t>Компания</t>
        </is>
      </c>
      <c r="B4" s="12" t="inlineStr">
        <is>
          <t>Тип / формат</t>
        </is>
      </c>
      <c r="C4" s="12" t="inlineStr">
        <is>
          <t>Выручка 2025, млрд ₽</t>
        </is>
      </c>
      <c r="D4" s="12" t="inlineStr">
        <is>
          <t>YoY, %</t>
        </is>
      </c>
      <c r="E4" s="12" t="inlineStr">
        <is>
          <t>Чистая прибыль 2025, млрд ₽</t>
        </is>
      </c>
      <c r="F4" s="12" t="inlineStr">
        <is>
          <t>Чистый долг, млрд ₽</t>
        </is>
      </c>
      <c r="G4" s="12" t="inlineStr">
        <is>
          <t>Магазины / заводы, шт</t>
        </is>
      </c>
      <c r="H4" s="12" t="inlineStr">
        <is>
          <t>Доля рынка Food, %</t>
        </is>
      </c>
    </row>
    <row r="5" ht="36" customHeight="1">
      <c r="A5" s="13" t="inlineStr">
        <is>
          <t>Пятёрочка (бренд X5)</t>
        </is>
      </c>
      <c r="B5" s="13" t="inlineStr">
        <is>
          <t>у дома; внутри X5, не суммировать</t>
        </is>
      </c>
      <c r="C5" s="14" t="n">
        <v>3600</v>
      </c>
      <c r="D5" s="21" t="inlineStr">
        <is>
          <t>н/д</t>
        </is>
      </c>
      <c r="E5" s="21" t="inlineStr">
        <is>
          <t>н/д</t>
        </is>
      </c>
      <c r="F5" s="21" t="inlineStr">
        <is>
          <t>н/д</t>
        </is>
      </c>
      <c r="G5" s="21" t="inlineStr">
        <is>
          <t>н/д</t>
        </is>
      </c>
      <c r="H5" s="21" t="inlineStr">
        <is>
          <t>н/д</t>
        </is>
      </c>
    </row>
    <row r="6" ht="36" customHeight="1">
      <c r="A6" s="17" t="inlineStr">
        <is>
          <t>Красное &amp; Белое (ООО Альфа-М; внутри Mercury)</t>
        </is>
      </c>
      <c r="B6" s="17" t="inlineStr">
        <is>
          <t>алкоголь / у дома; не суммировать с Mercury</t>
        </is>
      </c>
      <c r="C6" s="18" t="n">
        <v>846.6</v>
      </c>
      <c r="D6" s="19" t="n">
        <v>33</v>
      </c>
      <c r="E6" s="18" t="n">
        <v>26.1</v>
      </c>
      <c r="F6" s="22" t="inlineStr">
        <is>
          <t>н/д</t>
        </is>
      </c>
      <c r="G6" s="20" t="n">
        <v>21482</v>
      </c>
      <c r="H6" s="22" t="inlineStr">
        <is>
          <t>н/д</t>
        </is>
      </c>
    </row>
    <row r="7" ht="36" customHeight="1">
      <c r="A7" s="13" t="inlineStr">
        <is>
          <t>Перекрёсток (бренд X5)</t>
        </is>
      </c>
      <c r="B7" s="13" t="inlineStr">
        <is>
          <t>супер; внутри X5, не суммировать</t>
        </is>
      </c>
      <c r="C7" s="14" t="n">
        <v>531</v>
      </c>
      <c r="D7" s="21" t="inlineStr">
        <is>
          <t>н/д</t>
        </is>
      </c>
      <c r="E7" s="21" t="inlineStr">
        <is>
          <t>н/д</t>
        </is>
      </c>
      <c r="F7" s="21" t="inlineStr">
        <is>
          <t>н/д</t>
        </is>
      </c>
      <c r="G7" s="21" t="inlineStr">
        <is>
          <t>н/д</t>
        </is>
      </c>
      <c r="H7" s="21" t="inlineStr">
        <is>
          <t>н/д</t>
        </is>
      </c>
    </row>
    <row r="8" ht="36" customHeight="1">
      <c r="A8" s="17" t="inlineStr">
        <is>
          <t>Чижик (бренд X5)</t>
        </is>
      </c>
      <c r="B8" s="17" t="inlineStr">
        <is>
          <t>хард-дискаунтер; внутри X5, не суммировать</t>
        </is>
      </c>
      <c r="C8" s="18" t="n">
        <v>417.5</v>
      </c>
      <c r="D8" s="19" t="n">
        <v>67.3</v>
      </c>
      <c r="E8" s="22" t="inlineStr">
        <is>
          <t>н/д</t>
        </is>
      </c>
      <c r="F8" s="22" t="inlineStr">
        <is>
          <t>н/д</t>
        </is>
      </c>
      <c r="G8" s="22" t="inlineStr">
        <is>
          <t>н/д</t>
        </is>
      </c>
      <c r="H8" s="22" t="inlineStr">
        <is>
          <t>н/д</t>
        </is>
      </c>
    </row>
    <row r="9" ht="36" customHeight="1">
      <c r="A9" s="13" t="inlineStr">
        <is>
          <t>Дикси (формат Магнита)</t>
        </is>
      </c>
      <c r="B9" s="13" t="inlineStr">
        <is>
          <t>у дома; внутри Магнита, не суммировать</t>
        </is>
      </c>
      <c r="C9" s="14" t="n">
        <v>376.2</v>
      </c>
      <c r="D9" s="15" t="n">
        <v>15.4</v>
      </c>
      <c r="E9" s="21" t="inlineStr">
        <is>
          <t>н/д</t>
        </is>
      </c>
      <c r="F9" s="21" t="inlineStr">
        <is>
          <t>н/д</t>
        </is>
      </c>
      <c r="G9" s="16" t="n">
        <v>2668</v>
      </c>
      <c r="H9" s="21" t="inlineStr">
        <is>
          <t>н/д</t>
        </is>
      </c>
    </row>
    <row r="10" ht="36" customHeight="1">
      <c r="A10" s="17" t="inlineStr">
        <is>
          <t>Бристоль (ООО Альбион-2002; внутри Mercury)</t>
        </is>
      </c>
      <c r="B10" s="17" t="inlineStr">
        <is>
          <t>алкоголь; не суммировать с Mercury</t>
        </is>
      </c>
      <c r="C10" s="18" t="n">
        <v>365.7</v>
      </c>
      <c r="D10" s="19" t="n">
        <v>10</v>
      </c>
      <c r="E10" s="18" t="n">
        <v>8.6</v>
      </c>
      <c r="F10" s="22" t="inlineStr">
        <is>
          <t>н/д</t>
        </is>
      </c>
      <c r="G10" s="22" t="inlineStr">
        <is>
          <t>н/д</t>
        </is>
      </c>
      <c r="H10" s="22" t="inlineStr">
        <is>
          <t>н/д</t>
        </is>
      </c>
    </row>
    <row r="11" ht="36" customHeight="1">
      <c r="A11" s="13" t="inlineStr">
        <is>
          <t>X5 онлайн (канал группы)</t>
        </is>
      </c>
      <c r="B11" s="13" t="inlineStr">
        <is>
          <t>e-grocery; внутри X5, не суммировать</t>
        </is>
      </c>
      <c r="C11" s="14" t="n">
        <v>285.7</v>
      </c>
      <c r="D11" s="15" t="n">
        <v>42.8</v>
      </c>
      <c r="E11" s="21" t="inlineStr">
        <is>
          <t>н/д</t>
        </is>
      </c>
      <c r="F11" s="21" t="inlineStr">
        <is>
          <t>н/д</t>
        </is>
      </c>
      <c r="G11" s="21" t="inlineStr">
        <is>
          <t>н/д</t>
        </is>
      </c>
      <c r="H11" s="21" t="inlineStr">
        <is>
          <t>н/д</t>
        </is>
      </c>
    </row>
    <row r="12" ht="36" customHeight="1">
      <c r="A12" s="17" t="inlineStr">
        <is>
          <t>ВкусВилл онлайн (канал сети)</t>
        </is>
      </c>
      <c r="B12" s="17" t="inlineStr">
        <is>
          <t>e-grocery; внутри ВкусВилл, не суммировать</t>
        </is>
      </c>
      <c r="C12" s="18" t="n">
        <v>221.1</v>
      </c>
      <c r="D12" s="19" t="n">
        <v>16.7</v>
      </c>
      <c r="E12" s="22" t="inlineStr">
        <is>
          <t>н/д</t>
        </is>
      </c>
      <c r="F12" s="22" t="inlineStr">
        <is>
          <t>н/д</t>
        </is>
      </c>
      <c r="G12" s="22" t="inlineStr">
        <is>
          <t>н/д</t>
        </is>
      </c>
      <c r="H12" s="22" t="inlineStr">
        <is>
          <t>н/д</t>
        </is>
      </c>
    </row>
    <row r="13" ht="36" customHeight="1">
      <c r="A13" s="13" t="inlineStr">
        <is>
          <t>Азбука вкуса (бренд Магнита с 2025)</t>
        </is>
      </c>
      <c r="B13" s="13" t="inlineStr">
        <is>
          <t>премиум супер; внутри Магнита, не суммировать</t>
        </is>
      </c>
      <c r="C13" s="14" t="n">
        <v>106.3</v>
      </c>
      <c r="D13" s="21" t="inlineStr">
        <is>
          <t>н/д</t>
        </is>
      </c>
      <c r="E13" s="21" t="inlineStr">
        <is>
          <t>н/д</t>
        </is>
      </c>
      <c r="F13" s="21" t="inlineStr">
        <is>
          <t>н/д</t>
        </is>
      </c>
      <c r="G13" s="21" t="inlineStr">
        <is>
          <t>н/д</t>
        </is>
      </c>
      <c r="H13" s="21" t="inlineStr">
        <is>
          <t>н/д</t>
        </is>
      </c>
    </row>
    <row r="14" ht="36" customHeight="1">
      <c r="A14" s="17" t="inlineStr">
        <is>
          <t>Около (франшиза X5)</t>
        </is>
      </c>
      <c r="B14" s="17" t="inlineStr">
        <is>
          <t>франчайзи у дома; внутри периметра X5, не суммировать</t>
        </is>
      </c>
      <c r="C14" s="18" t="n">
        <v>66</v>
      </c>
      <c r="D14" s="19" t="n">
        <v>680</v>
      </c>
      <c r="E14" s="22" t="inlineStr">
        <is>
          <t>н/д</t>
        </is>
      </c>
      <c r="F14" s="22" t="inlineStr">
        <is>
          <t>н/д</t>
        </is>
      </c>
      <c r="G14" s="22" t="inlineStr">
        <is>
          <t>н/д</t>
        </is>
      </c>
      <c r="H14" s="22" t="inlineStr">
        <is>
          <t>н/д</t>
        </is>
      </c>
    </row>
    <row r="15" ht="36" customHeight="1">
      <c r="A15" s="13" t="inlineStr">
        <is>
          <t>Монетка (бренд Ленты)</t>
        </is>
      </c>
      <c r="B15" s="13" t="inlineStr">
        <is>
          <t>у дома, Урал; внутри Ленты, не суммировать</t>
        </is>
      </c>
      <c r="C15" s="21" t="inlineStr">
        <is>
          <t>н/д</t>
        </is>
      </c>
      <c r="D15" s="15" t="n">
        <v>29.1</v>
      </c>
      <c r="E15" s="21" t="inlineStr">
        <is>
          <t>н/д</t>
        </is>
      </c>
      <c r="F15" s="21" t="inlineStr">
        <is>
          <t>н/д</t>
        </is>
      </c>
      <c r="G15" s="21" t="inlineStr">
        <is>
          <t>н/д</t>
        </is>
      </c>
      <c r="H15" s="21" t="inlineStr">
        <is>
          <t>н/д</t>
        </is>
      </c>
    </row>
    <row r="16" ht="36" customHeight="1">
      <c r="A16" s="17" t="inlineStr">
        <is>
          <t>Фасоль (франшиза METRO)</t>
        </is>
      </c>
      <c r="B16" s="17" t="inlineStr">
        <is>
          <t>у дома; франшиза, не консолидируется полностью</t>
        </is>
      </c>
      <c r="C16" s="22" t="inlineStr">
        <is>
          <t>н/д</t>
        </is>
      </c>
      <c r="D16" s="19" t="n">
        <v>3.8</v>
      </c>
      <c r="E16" s="22" t="inlineStr">
        <is>
          <t>н/д</t>
        </is>
      </c>
      <c r="F16" s="22" t="inlineStr">
        <is>
          <t>н/д</t>
        </is>
      </c>
      <c r="G16" s="22" t="inlineStr">
        <is>
          <t>н/д</t>
        </is>
      </c>
      <c r="H16" s="22" t="inlineStr">
        <is>
          <t>н/д</t>
        </is>
      </c>
    </row>
  </sheetData>
  <autoFilter ref="A4:H16"/>
  <conditionalFormatting sqref="E5:E16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1FA2"/>
    <outlinePr summaryBelow="1" summaryRight="1"/>
    <pageSetUpPr fitToPage="1"/>
  </sheetPr>
  <dimension ref="A1:H6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8" customHeight="1">
      <c r="A1" s="11" t="inlineStr">
        <is>
          <t>Самостоятельные производители. Вимм-Билль-Данн сюда не входит: его 162 млрд уже внутри PepsiCo, строка лежит в «Вывесках».</t>
        </is>
      </c>
      <c r="B1" s="2" t="n"/>
      <c r="C1" s="2" t="n"/>
      <c r="D1" s="2" t="n"/>
      <c r="E1" s="2" t="n"/>
      <c r="F1" s="2" t="n"/>
      <c r="G1" s="2" t="n"/>
      <c r="H1" s="2" t="n"/>
    </row>
    <row r="2" ht="36" customHeight="1">
      <c r="A2" s="12" t="inlineStr">
        <is>
          <t>Компания</t>
        </is>
      </c>
      <c r="B2" s="12" t="inlineStr">
        <is>
          <t>Тип / формат</t>
        </is>
      </c>
      <c r="C2" s="12" t="inlineStr">
        <is>
          <t>Выручка 2025, млрд ₽</t>
        </is>
      </c>
      <c r="D2" s="12" t="inlineStr">
        <is>
          <t>YoY, %</t>
        </is>
      </c>
      <c r="E2" s="12" t="inlineStr">
        <is>
          <t>Чистая прибыль 2025, млрд ₽</t>
        </is>
      </c>
      <c r="F2" s="12" t="inlineStr">
        <is>
          <t>Чистый долг, млрд ₽</t>
        </is>
      </c>
      <c r="G2" s="12" t="inlineStr">
        <is>
          <t>Магазины / заводы, шт</t>
        </is>
      </c>
      <c r="H2" s="12" t="inlineStr">
        <is>
          <t>Доля рынка Food, %</t>
        </is>
      </c>
    </row>
    <row r="3" ht="36" customHeight="1">
      <c r="A3" s="13" t="inlineStr">
        <is>
          <t>PepsiCo Россия (вкл. Вимм-Билль-Данн)</t>
        </is>
      </c>
      <c r="B3" s="13" t="inlineStr">
        <is>
          <t>напитки / снеки / молочка</t>
        </is>
      </c>
      <c r="C3" s="14" t="n">
        <v>398.8</v>
      </c>
      <c r="D3" s="15" t="n">
        <v>11.1</v>
      </c>
      <c r="E3" s="21" t="inlineStr">
        <is>
          <t>н/д</t>
        </is>
      </c>
      <c r="F3" s="21" t="inlineStr">
        <is>
          <t>н/д</t>
        </is>
      </c>
      <c r="G3" s="21" t="inlineStr">
        <is>
          <t>н/д</t>
        </is>
      </c>
      <c r="H3" s="21" t="inlineStr">
        <is>
          <t>н/д</t>
        </is>
      </c>
    </row>
    <row r="4" ht="36" customHeight="1">
      <c r="A4" s="17" t="inlineStr">
        <is>
          <t>Русагро</t>
        </is>
      </c>
      <c r="B4" s="17" t="inlineStr">
        <is>
          <t>масложир / сахар / мясо / агро</t>
        </is>
      </c>
      <c r="C4" s="18" t="n">
        <v>396.5</v>
      </c>
      <c r="D4" s="19" t="n">
        <v>16.6</v>
      </c>
      <c r="E4" s="18" t="n">
        <v>19.9</v>
      </c>
      <c r="F4" s="18" t="n">
        <v>148</v>
      </c>
      <c r="G4" s="22" t="inlineStr">
        <is>
          <t>н/д</t>
        </is>
      </c>
      <c r="H4" s="22" t="inlineStr">
        <is>
          <t>н/д</t>
        </is>
      </c>
    </row>
    <row r="5" ht="36" customHeight="1">
      <c r="A5" s="13" t="inlineStr">
        <is>
          <t>ЭФКО</t>
        </is>
      </c>
      <c r="B5" s="13" t="inlineStr">
        <is>
          <t>масложир / B2C / экспорт</t>
        </is>
      </c>
      <c r="C5" s="14" t="n">
        <v>344</v>
      </c>
      <c r="D5" s="15" t="n">
        <v>0</v>
      </c>
      <c r="E5" s="21" t="inlineStr">
        <is>
          <t>н/д</t>
        </is>
      </c>
      <c r="F5" s="21" t="inlineStr">
        <is>
          <t>н/д</t>
        </is>
      </c>
      <c r="G5" s="21" t="inlineStr">
        <is>
          <t>н/д</t>
        </is>
      </c>
      <c r="H5" s="21" t="inlineStr">
        <is>
          <t>н/д</t>
        </is>
      </c>
    </row>
    <row r="6" ht="36" customHeight="1">
      <c r="A6" s="17" t="inlineStr">
        <is>
          <t>АПХ Мираторг</t>
        </is>
      </c>
      <c r="B6" s="17" t="inlineStr">
        <is>
          <t>мясо / от поля до прилавка</t>
        </is>
      </c>
      <c r="C6" s="18" t="n">
        <v>342.2</v>
      </c>
      <c r="D6" s="19" t="n">
        <v>13.6</v>
      </c>
      <c r="E6" s="22" t="inlineStr">
        <is>
          <t>н/д</t>
        </is>
      </c>
      <c r="F6" s="22" t="inlineStr">
        <is>
          <t>н/д</t>
        </is>
      </c>
      <c r="G6" s="22" t="inlineStr">
        <is>
          <t>н/д</t>
        </is>
      </c>
      <c r="H6" s="22" t="inlineStr">
        <is>
          <t>н/д</t>
        </is>
      </c>
    </row>
    <row r="7" ht="36" customHeight="1">
      <c r="A7" s="13" t="inlineStr">
        <is>
          <t>KDV Group</t>
        </is>
      </c>
      <c r="B7" s="13" t="inlineStr">
        <is>
          <t>кондитерка / снеки</t>
        </is>
      </c>
      <c r="C7" s="14" t="n">
        <v>308.1</v>
      </c>
      <c r="D7" s="15" t="n">
        <v>1</v>
      </c>
      <c r="E7" s="21" t="inlineStr">
        <is>
          <t>н/д</t>
        </is>
      </c>
      <c r="F7" s="21" t="inlineStr">
        <is>
          <t>н/д</t>
        </is>
      </c>
      <c r="G7" s="21" t="inlineStr">
        <is>
          <t>н/д</t>
        </is>
      </c>
      <c r="H7" s="21" t="inlineStr">
        <is>
          <t>н/д</t>
        </is>
      </c>
    </row>
    <row r="8" ht="36" customHeight="1">
      <c r="A8" s="17" t="inlineStr">
        <is>
          <t>Черкизово</t>
        </is>
      </c>
      <c r="B8" s="17" t="inlineStr">
        <is>
          <t>мясо / птица / мясопереработка</t>
        </is>
      </c>
      <c r="C8" s="18" t="n">
        <v>288.7</v>
      </c>
      <c r="D8" s="19" t="n">
        <v>11.4</v>
      </c>
      <c r="E8" s="18" t="n">
        <v>30</v>
      </c>
      <c r="F8" s="18" t="n">
        <v>139.9</v>
      </c>
      <c r="G8" s="22" t="inlineStr">
        <is>
          <t>н/д</t>
        </is>
      </c>
      <c r="H8" s="22" t="inlineStr">
        <is>
          <t>н/д</t>
        </is>
      </c>
    </row>
    <row r="9" ht="36" customHeight="1">
      <c r="A9" s="13" t="inlineStr">
        <is>
          <t>ГАП Ресурс</t>
        </is>
      </c>
      <c r="B9" s="13" t="inlineStr">
        <is>
          <t>птица / мясо</t>
        </is>
      </c>
      <c r="C9" s="14" t="n">
        <v>287.5</v>
      </c>
      <c r="D9" s="15" t="n">
        <v>7.3</v>
      </c>
      <c r="E9" s="21" t="inlineStr">
        <is>
          <t>н/д</t>
        </is>
      </c>
      <c r="F9" s="21" t="inlineStr">
        <is>
          <t>н/д</t>
        </is>
      </c>
      <c r="G9" s="21" t="inlineStr">
        <is>
          <t>н/д</t>
        </is>
      </c>
      <c r="H9" s="21" t="inlineStr">
        <is>
          <t>н/д</t>
        </is>
      </c>
    </row>
    <row r="10" ht="36" customHeight="1">
      <c r="A10" s="17" t="inlineStr">
        <is>
          <t>Nestlé Россия</t>
        </is>
      </c>
      <c r="B10" s="17" t="inlineStr">
        <is>
          <t>кофе / корма / кулинария</t>
        </is>
      </c>
      <c r="C10" s="18" t="n">
        <v>257.6</v>
      </c>
      <c r="D10" s="19" t="n">
        <v>2.2</v>
      </c>
      <c r="E10" s="22" t="inlineStr">
        <is>
          <t>н/д</t>
        </is>
      </c>
      <c r="F10" s="22" t="inlineStr">
        <is>
          <t>н/д</t>
        </is>
      </c>
      <c r="G10" s="22" t="inlineStr">
        <is>
          <t>н/д</t>
        </is>
      </c>
      <c r="H10" s="22" t="inlineStr">
        <is>
          <t>н/д</t>
        </is>
      </c>
    </row>
    <row r="11" ht="36" customHeight="1">
      <c r="A11" s="13" t="inlineStr">
        <is>
          <t>Mars Россия</t>
        </is>
      </c>
      <c r="B11" s="13" t="inlineStr">
        <is>
          <t>корма / кондитерка / еда</t>
        </is>
      </c>
      <c r="C11" s="14" t="n">
        <v>235.1</v>
      </c>
      <c r="D11" s="15" t="n">
        <v>11</v>
      </c>
      <c r="E11" s="21" t="inlineStr">
        <is>
          <t>н/д</t>
        </is>
      </c>
      <c r="F11" s="21" t="inlineStr">
        <is>
          <t>н/д</t>
        </is>
      </c>
      <c r="G11" s="21" t="inlineStr">
        <is>
          <t>н/д</t>
        </is>
      </c>
      <c r="H11" s="21" t="inlineStr">
        <is>
          <t>н/д</t>
        </is>
      </c>
    </row>
    <row r="12" ht="36" customHeight="1">
      <c r="A12" s="17" t="inlineStr">
        <is>
          <t>Продимекс (сумма предприятий группы)</t>
        </is>
      </c>
      <c r="B12" s="17" t="inlineStr">
        <is>
          <t>сахар / агро; внутригрупповые обороты возможны</t>
        </is>
      </c>
      <c r="C12" s="18" t="n">
        <v>220</v>
      </c>
      <c r="D12" s="22" t="inlineStr">
        <is>
          <t>н/д</t>
        </is>
      </c>
      <c r="E12" s="18" t="n">
        <v>33</v>
      </c>
      <c r="F12" s="22" t="inlineStr">
        <is>
          <t>н/д</t>
        </is>
      </c>
      <c r="G12" s="22" t="inlineStr">
        <is>
          <t>н/д</t>
        </is>
      </c>
      <c r="H12" s="22" t="inlineStr">
        <is>
          <t>н/д</t>
        </is>
      </c>
    </row>
    <row r="13" ht="36" customHeight="1">
      <c r="A13" s="13" t="inlineStr">
        <is>
          <t>Агропромкомплектация</t>
        </is>
      </c>
      <c r="B13" s="13" t="inlineStr">
        <is>
          <t>мясо / молоко / агро</t>
        </is>
      </c>
      <c r="C13" s="14" t="n">
        <v>204.4</v>
      </c>
      <c r="D13" s="15" t="n">
        <v>15</v>
      </c>
      <c r="E13" s="21" t="inlineStr">
        <is>
          <t>н/д</t>
        </is>
      </c>
      <c r="F13" s="21" t="inlineStr">
        <is>
          <t>н/д</t>
        </is>
      </c>
      <c r="G13" s="21" t="inlineStr">
        <is>
          <t>н/д</t>
        </is>
      </c>
      <c r="H13" s="21" t="inlineStr">
        <is>
          <t>н/д</t>
        </is>
      </c>
    </row>
    <row r="14" ht="36" customHeight="1">
      <c r="A14" s="17" t="inlineStr">
        <is>
          <t>Логика молока (ex-Danone / Health&amp;Nutrition)</t>
        </is>
      </c>
      <c r="B14" s="17" t="inlineStr">
        <is>
          <t>молочка / детское питание</t>
        </is>
      </c>
      <c r="C14" s="18" t="n">
        <v>167.1</v>
      </c>
      <c r="D14" s="19" t="n">
        <v>17.9</v>
      </c>
      <c r="E14" s="22" t="inlineStr">
        <is>
          <t>н/д</t>
        </is>
      </c>
      <c r="F14" s="22" t="inlineStr">
        <is>
          <t>н/д</t>
        </is>
      </c>
      <c r="G14" s="20" t="n">
        <v>12</v>
      </c>
      <c r="H14" s="22" t="inlineStr">
        <is>
          <t>н/д</t>
        </is>
      </c>
    </row>
    <row r="15" ht="36" customHeight="1">
      <c r="A15" s="13" t="inlineStr">
        <is>
          <t>Напитки вместе (ex-AB InBev Efes)</t>
        </is>
      </c>
      <c r="B15" s="13" t="inlineStr">
        <is>
          <t>пиво / безалкогольные</t>
        </is>
      </c>
      <c r="C15" s="14" t="n">
        <v>164.7</v>
      </c>
      <c r="D15" s="15" t="n">
        <v>16.6</v>
      </c>
      <c r="E15" s="21" t="inlineStr">
        <is>
          <t>н/д</t>
        </is>
      </c>
      <c r="F15" s="21" t="inlineStr">
        <is>
          <t>н/д</t>
        </is>
      </c>
      <c r="G15" s="21" t="inlineStr">
        <is>
          <t>н/д</t>
        </is>
      </c>
      <c r="H15" s="21" t="inlineStr">
        <is>
          <t>н/д</t>
        </is>
      </c>
    </row>
    <row r="16" ht="36" customHeight="1">
      <c r="A16" s="17" t="inlineStr">
        <is>
          <t>Балтика (ООО ПК Балтика)</t>
        </is>
      </c>
      <c r="B16" s="17" t="inlineStr">
        <is>
          <t>пиво / вода</t>
        </is>
      </c>
      <c r="C16" s="18" t="n">
        <v>145.9</v>
      </c>
      <c r="D16" s="19" t="n">
        <v>8.199999999999999</v>
      </c>
      <c r="E16" s="18" t="n">
        <v>13.3</v>
      </c>
      <c r="F16" s="22" t="inlineStr">
        <is>
          <t>н/д</t>
        </is>
      </c>
      <c r="G16" s="22" t="inlineStr">
        <is>
          <t>н/д</t>
        </is>
      </c>
      <c r="H16" s="22" t="inlineStr">
        <is>
          <t>н/д</t>
        </is>
      </c>
    </row>
    <row r="17" ht="36" customHeight="1">
      <c r="A17" s="13" t="inlineStr">
        <is>
          <t>Сибагро (совокупность компаний группы)</t>
        </is>
      </c>
      <c r="B17" s="13" t="inlineStr">
        <is>
          <t>свинина / мясо, Сибирь</t>
        </is>
      </c>
      <c r="C17" s="14" t="n">
        <v>132</v>
      </c>
      <c r="D17" s="15" t="n">
        <v>13.8</v>
      </c>
      <c r="E17" s="21" t="inlineStr">
        <is>
          <t>н/д</t>
        </is>
      </c>
      <c r="F17" s="21" t="inlineStr">
        <is>
          <t>н/д</t>
        </is>
      </c>
      <c r="G17" s="21" t="inlineStr">
        <is>
          <t>н/д</t>
        </is>
      </c>
      <c r="H17" s="21" t="inlineStr">
        <is>
          <t>н/д</t>
        </is>
      </c>
    </row>
    <row r="18" ht="36" customHeight="1">
      <c r="A18" s="17" t="inlineStr">
        <is>
          <t>Объединённые кондитеры (ООО, дистрибуция группы)</t>
        </is>
      </c>
      <c r="B18" s="17" t="inlineStr">
        <is>
          <t>кондитерка</t>
        </is>
      </c>
      <c r="C18" s="18" t="n">
        <v>113.2</v>
      </c>
      <c r="D18" s="19" t="n">
        <v>4.7</v>
      </c>
      <c r="E18" s="23" t="n">
        <v>0.513</v>
      </c>
      <c r="F18" s="22" t="inlineStr">
        <is>
          <t>н/д</t>
        </is>
      </c>
      <c r="G18" s="22" t="inlineStr">
        <is>
          <t>н/д</t>
        </is>
      </c>
      <c r="H18" s="22" t="inlineStr">
        <is>
          <t>н/д</t>
        </is>
      </c>
    </row>
    <row r="19" ht="36" customHeight="1">
      <c r="A19" s="13" t="inlineStr">
        <is>
          <t>АБИ (ABI Product)</t>
        </is>
      </c>
      <c r="B19" s="13" t="inlineStr">
        <is>
          <t>мясопереработка / полуфабрикаты</t>
        </is>
      </c>
      <c r="C19" s="14" t="n">
        <v>87.90000000000001</v>
      </c>
      <c r="D19" s="21" t="inlineStr">
        <is>
          <t>н/д</t>
        </is>
      </c>
      <c r="E19" s="21" t="inlineStr">
        <is>
          <t>н/д</t>
        </is>
      </c>
      <c r="F19" s="21" t="inlineStr">
        <is>
          <t>н/д</t>
        </is>
      </c>
      <c r="G19" s="21" t="inlineStr">
        <is>
          <t>н/д</t>
        </is>
      </c>
      <c r="H19" s="21" t="inlineStr">
        <is>
          <t>н/д</t>
        </is>
      </c>
    </row>
    <row r="20" ht="36" customHeight="1">
      <c r="A20" s="17" t="inlineStr">
        <is>
          <t>Дамате</t>
        </is>
      </c>
      <c r="B20" s="17" t="inlineStr">
        <is>
          <t>индейка / молоко / баранина</t>
        </is>
      </c>
      <c r="C20" s="18" t="n">
        <v>82.8</v>
      </c>
      <c r="D20" s="19" t="n">
        <v>15</v>
      </c>
      <c r="E20" s="22" t="inlineStr">
        <is>
          <t>н/д</t>
        </is>
      </c>
      <c r="F20" s="22" t="inlineStr">
        <is>
          <t>н/д</t>
        </is>
      </c>
      <c r="G20" s="22" t="inlineStr">
        <is>
          <t>н/д</t>
        </is>
      </c>
      <c r="H20" s="22" t="inlineStr">
        <is>
          <t>н/д</t>
        </is>
      </c>
    </row>
    <row r="21" ht="36" customHeight="1">
      <c r="A21" s="13" t="inlineStr">
        <is>
          <t>Комос Групп (молочный контур рейтинга)</t>
        </is>
      </c>
      <c r="B21" s="13" t="inlineStr">
        <is>
          <t>молоко / мясо / птица</t>
        </is>
      </c>
      <c r="C21" s="14" t="n">
        <v>63.1</v>
      </c>
      <c r="D21" s="15" t="n">
        <v>17.5</v>
      </c>
      <c r="E21" s="21" t="inlineStr">
        <is>
          <t>н/д</t>
        </is>
      </c>
      <c r="F21" s="21" t="inlineStr">
        <is>
          <t>н/д</t>
        </is>
      </c>
      <c r="G21" s="21" t="inlineStr">
        <is>
          <t>н/д</t>
        </is>
      </c>
      <c r="H21" s="21" t="inlineStr">
        <is>
          <t>н/д</t>
        </is>
      </c>
    </row>
    <row r="22" ht="36" customHeight="1">
      <c r="A22" s="17" t="inlineStr">
        <is>
          <t>Орими Трейд (Tess, Greenfield, Jardin)</t>
        </is>
      </c>
      <c r="B22" s="17" t="inlineStr">
        <is>
          <t>чай / кофе</t>
        </is>
      </c>
      <c r="C22" s="18" t="n">
        <v>62.32</v>
      </c>
      <c r="D22" s="19" t="n">
        <v>9.9</v>
      </c>
      <c r="E22" s="18" t="n">
        <v>8.475</v>
      </c>
      <c r="F22" s="22" t="inlineStr">
        <is>
          <t>н/д</t>
        </is>
      </c>
      <c r="G22" s="22" t="inlineStr">
        <is>
          <t>н/д</t>
        </is>
      </c>
      <c r="H22" s="22" t="inlineStr">
        <is>
          <t>н/д</t>
        </is>
      </c>
    </row>
    <row r="23" ht="36" customHeight="1">
      <c r="A23" s="13" t="inlineStr">
        <is>
          <t>Hochland Russland</t>
        </is>
      </c>
      <c r="B23" s="13" t="inlineStr">
        <is>
          <t>сыр / молочка</t>
        </is>
      </c>
      <c r="C23" s="14" t="n">
        <v>60.8</v>
      </c>
      <c r="D23" s="15" t="n">
        <v>12.6</v>
      </c>
      <c r="E23" s="21" t="inlineStr">
        <is>
          <t>н/д</t>
        </is>
      </c>
      <c r="F23" s="21" t="inlineStr">
        <is>
          <t>н/д</t>
        </is>
      </c>
      <c r="G23" s="21" t="inlineStr">
        <is>
          <t>н/д</t>
        </is>
      </c>
      <c r="H23" s="21" t="inlineStr">
        <is>
          <t>н/д</t>
        </is>
      </c>
    </row>
    <row r="24" ht="36" customHeight="1">
      <c r="A24" s="17" t="inlineStr">
        <is>
          <t>ГК Ренна</t>
        </is>
      </c>
      <c r="B24" s="17" t="inlineStr">
        <is>
          <t>мороженое / сгущёнка</t>
        </is>
      </c>
      <c r="C24" s="18" t="n">
        <v>58.1</v>
      </c>
      <c r="D24" s="19" t="n">
        <v>13.3</v>
      </c>
      <c r="E24" s="22" t="inlineStr">
        <is>
          <t>н/д</t>
        </is>
      </c>
      <c r="F24" s="22" t="inlineStr">
        <is>
          <t>н/д</t>
        </is>
      </c>
      <c r="G24" s="22" t="inlineStr">
        <is>
          <t>н/д</t>
        </is>
      </c>
      <c r="H24" s="22" t="inlineStr">
        <is>
          <t>н/д</t>
        </is>
      </c>
    </row>
    <row r="25" ht="36" customHeight="1">
      <c r="A25" s="13" t="inlineStr">
        <is>
          <t>Агроэко</t>
        </is>
      </c>
      <c r="B25" s="13" t="inlineStr">
        <is>
          <t>свинина / мясо</t>
        </is>
      </c>
      <c r="C25" s="14" t="n">
        <v>56.4</v>
      </c>
      <c r="D25" s="15" t="n">
        <v>19</v>
      </c>
      <c r="E25" s="14" t="n">
        <v>8.5</v>
      </c>
      <c r="F25" s="21" t="inlineStr">
        <is>
          <t>н/д</t>
        </is>
      </c>
      <c r="G25" s="21" t="inlineStr">
        <is>
          <t>н/д</t>
        </is>
      </c>
      <c r="H25" s="21" t="inlineStr">
        <is>
          <t>н/д</t>
        </is>
      </c>
    </row>
    <row r="26" ht="36" customHeight="1">
      <c r="A26" s="17" t="inlineStr">
        <is>
          <t>Прогресс (ФрутоНяня / Малышам)</t>
        </is>
      </c>
      <c r="B26" s="17" t="inlineStr">
        <is>
          <t>детское питание / соки</t>
        </is>
      </c>
      <c r="C26" s="18" t="n">
        <v>52.1</v>
      </c>
      <c r="D26" s="19" t="n">
        <v>8</v>
      </c>
      <c r="E26" s="18" t="n">
        <v>10.2</v>
      </c>
      <c r="F26" s="22" t="inlineStr">
        <is>
          <t>н/д</t>
        </is>
      </c>
      <c r="G26" s="22" t="inlineStr">
        <is>
          <t>н/д</t>
        </is>
      </c>
      <c r="H26" s="22" t="inlineStr">
        <is>
          <t>н/д</t>
        </is>
      </c>
    </row>
    <row r="27" ht="36" customHeight="1">
      <c r="A27" s="13" t="inlineStr">
        <is>
          <t>ГК Молвест</t>
        </is>
      </c>
      <c r="B27" s="13" t="inlineStr">
        <is>
          <t>молочка</t>
        </is>
      </c>
      <c r="C27" s="14" t="n">
        <v>51.7</v>
      </c>
      <c r="D27" s="15" t="n">
        <v>4.2</v>
      </c>
      <c r="E27" s="21" t="inlineStr">
        <is>
          <t>н/д</t>
        </is>
      </c>
      <c r="F27" s="21" t="inlineStr">
        <is>
          <t>н/д</t>
        </is>
      </c>
      <c r="G27" s="21" t="inlineStr">
        <is>
          <t>н/д</t>
        </is>
      </c>
      <c r="H27" s="21" t="inlineStr">
        <is>
          <t>н/д</t>
        </is>
      </c>
    </row>
    <row r="28" ht="36" customHeight="1">
      <c r="A28" s="17" t="inlineStr">
        <is>
          <t>Эссен Продакшн (Махеевъ)</t>
        </is>
      </c>
      <c r="B28" s="17" t="inlineStr">
        <is>
          <t>соусы / консервация / кондитерка</t>
        </is>
      </c>
      <c r="C28" s="18" t="n">
        <v>50.2</v>
      </c>
      <c r="D28" s="19" t="n">
        <v>15.7</v>
      </c>
      <c r="E28" s="18" t="n">
        <v>4.9</v>
      </c>
      <c r="F28" s="22" t="inlineStr">
        <is>
          <t>н/д</t>
        </is>
      </c>
      <c r="G28" s="22" t="inlineStr">
        <is>
          <t>н/д</t>
        </is>
      </c>
      <c r="H28" s="22" t="inlineStr">
        <is>
          <t>н/д</t>
        </is>
      </c>
    </row>
    <row r="29" ht="36" customHeight="1">
      <c r="A29" s="13" t="inlineStr">
        <is>
          <t>Юговской комбинат молочных продуктов</t>
        </is>
      </c>
      <c r="B29" s="13" t="inlineStr">
        <is>
          <t>молочка / сыр</t>
        </is>
      </c>
      <c r="C29" s="14" t="n">
        <v>46.4</v>
      </c>
      <c r="D29" s="15" t="n">
        <v>4.7</v>
      </c>
      <c r="E29" s="21" t="inlineStr">
        <is>
          <t>н/д</t>
        </is>
      </c>
      <c r="F29" s="21" t="inlineStr">
        <is>
          <t>н/д</t>
        </is>
      </c>
      <c r="G29" s="21" t="inlineStr">
        <is>
          <t>н/д</t>
        </is>
      </c>
      <c r="H29" s="21" t="inlineStr">
        <is>
          <t>н/д</t>
        </is>
      </c>
    </row>
    <row r="30" ht="36" customHeight="1">
      <c r="A30" s="17" t="inlineStr">
        <is>
          <t>Сады Придонья</t>
        </is>
      </c>
      <c r="B30" s="17" t="inlineStr">
        <is>
          <t>соки / пюре / растениеводство</t>
        </is>
      </c>
      <c r="C30" s="18" t="n">
        <v>42.88</v>
      </c>
      <c r="D30" s="19" t="n">
        <v>13.6</v>
      </c>
      <c r="E30" s="18" t="n">
        <v>4.155</v>
      </c>
      <c r="F30" s="22" t="inlineStr">
        <is>
          <t>н/д</t>
        </is>
      </c>
      <c r="G30" s="22" t="inlineStr">
        <is>
          <t>н/д</t>
        </is>
      </c>
      <c r="H30" s="22" t="inlineStr">
        <is>
          <t>н/д</t>
        </is>
      </c>
    </row>
    <row r="31" ht="36" customHeight="1">
      <c r="A31" s="13" t="inlineStr">
        <is>
          <t>Ehrmann Россия</t>
        </is>
      </c>
      <c r="B31" s="13" t="inlineStr">
        <is>
          <t>молочка / десерты</t>
        </is>
      </c>
      <c r="C31" s="14" t="n">
        <v>40.6</v>
      </c>
      <c r="D31" s="15" t="n">
        <v>19.8</v>
      </c>
      <c r="E31" s="21" t="inlineStr">
        <is>
          <t>н/д</t>
        </is>
      </c>
      <c r="F31" s="21" t="inlineStr">
        <is>
          <t>н/д</t>
        </is>
      </c>
      <c r="G31" s="21" t="inlineStr">
        <is>
          <t>н/д</t>
        </is>
      </c>
      <c r="H31" s="21" t="inlineStr">
        <is>
          <t>н/д</t>
        </is>
      </c>
    </row>
    <row r="32" ht="36" customHeight="1">
      <c r="A32" s="17" t="inlineStr">
        <is>
          <t>ГК Фудлэнд</t>
        </is>
      </c>
      <c r="B32" s="17" t="inlineStr">
        <is>
          <t>сыр / молочка</t>
        </is>
      </c>
      <c r="C32" s="18" t="n">
        <v>40</v>
      </c>
      <c r="D32" s="19" t="n">
        <v>3.1</v>
      </c>
      <c r="E32" s="22" t="inlineStr">
        <is>
          <t>н/д</t>
        </is>
      </c>
      <c r="F32" s="22" t="inlineStr">
        <is>
          <t>н/д</t>
        </is>
      </c>
      <c r="G32" s="22" t="inlineStr">
        <is>
          <t>н/д</t>
        </is>
      </c>
      <c r="H32" s="22" t="inlineStr">
        <is>
          <t>н/д</t>
        </is>
      </c>
    </row>
    <row r="33" ht="36" customHeight="1">
      <c r="A33" s="13" t="inlineStr">
        <is>
          <t>Инвест Альянс (производство Ермолино)</t>
        </is>
      </c>
      <c r="B33" s="13" t="inlineStr">
        <is>
          <t>полуфабрикаты; связано с розницей Ермолино</t>
        </is>
      </c>
      <c r="C33" s="14" t="n">
        <v>36.7</v>
      </c>
      <c r="D33" s="15" t="n">
        <v>21</v>
      </c>
      <c r="E33" s="14" t="n">
        <v>6.8</v>
      </c>
      <c r="F33" s="21" t="inlineStr">
        <is>
          <t>н/д</t>
        </is>
      </c>
      <c r="G33" s="16" t="n">
        <v>3</v>
      </c>
      <c r="H33" s="21" t="inlineStr">
        <is>
          <t>н/д</t>
        </is>
      </c>
    </row>
    <row r="34" ht="36" customHeight="1">
      <c r="A34" s="17" t="inlineStr">
        <is>
          <t>Lactalis Россия</t>
        </is>
      </c>
      <c r="B34" s="17" t="inlineStr">
        <is>
          <t>сыр / молочка</t>
        </is>
      </c>
      <c r="C34" s="18" t="n">
        <v>33</v>
      </c>
      <c r="D34" s="19" t="n">
        <v>8.199999999999999</v>
      </c>
      <c r="E34" s="22" t="inlineStr">
        <is>
          <t>н/д</t>
        </is>
      </c>
      <c r="F34" s="22" t="inlineStr">
        <is>
          <t>н/д</t>
        </is>
      </c>
      <c r="G34" s="22" t="inlineStr">
        <is>
          <t>н/д</t>
        </is>
      </c>
      <c r="H34" s="22" t="inlineStr">
        <is>
          <t>н/д</t>
        </is>
      </c>
    </row>
    <row r="35" ht="36" customHeight="1">
      <c r="A35" s="13" t="inlineStr">
        <is>
          <t>ГК ЭкоНива (молочный контур рейтинга)</t>
        </is>
      </c>
      <c r="B35" s="13" t="inlineStr">
        <is>
          <t>молочка / агро</t>
        </is>
      </c>
      <c r="C35" s="14" t="n">
        <v>29.8</v>
      </c>
      <c r="D35" s="15" t="n">
        <v>4.9</v>
      </c>
      <c r="E35" s="21" t="inlineStr">
        <is>
          <t>н/д</t>
        </is>
      </c>
      <c r="F35" s="21" t="inlineStr">
        <is>
          <t>н/д</t>
        </is>
      </c>
      <c r="G35" s="21" t="inlineStr">
        <is>
          <t>н/д</t>
        </is>
      </c>
      <c r="H35" s="21" t="inlineStr">
        <is>
          <t>н/д</t>
        </is>
      </c>
    </row>
    <row r="36" ht="36" customHeight="1">
      <c r="A36" s="17" t="inlineStr">
        <is>
          <t>ГК Айсберри</t>
        </is>
      </c>
      <c r="B36" s="17" t="inlineStr">
        <is>
          <t>мороженое</t>
        </is>
      </c>
      <c r="C36" s="18" t="n">
        <v>29.5</v>
      </c>
      <c r="D36" s="19" t="n">
        <v>10.9</v>
      </c>
      <c r="E36" s="22" t="inlineStr">
        <is>
          <t>н/д</t>
        </is>
      </c>
      <c r="F36" s="22" t="inlineStr">
        <is>
          <t>н/д</t>
        </is>
      </c>
      <c r="G36" s="22" t="inlineStr">
        <is>
          <t>н/д</t>
        </is>
      </c>
      <c r="H36" s="22" t="inlineStr">
        <is>
          <t>н/д</t>
        </is>
      </c>
    </row>
    <row r="37" ht="36" customHeight="1">
      <c r="A37" s="13" t="inlineStr">
        <is>
          <t>МПБК Очаково</t>
        </is>
      </c>
      <c r="B37" s="13" t="inlineStr">
        <is>
          <t>пиво / квас / напитки</t>
        </is>
      </c>
      <c r="C37" s="14" t="n">
        <v>28.3</v>
      </c>
      <c r="D37" s="15" t="n">
        <v>17</v>
      </c>
      <c r="E37" s="14" t="n">
        <v>2.33</v>
      </c>
      <c r="F37" s="21" t="inlineStr">
        <is>
          <t>н/д</t>
        </is>
      </c>
      <c r="G37" s="21" t="inlineStr">
        <is>
          <t>н/д</t>
        </is>
      </c>
      <c r="H37" s="21" t="inlineStr">
        <is>
          <t>н/д</t>
        </is>
      </c>
    </row>
    <row r="38" ht="36" customHeight="1">
      <c r="A38" s="17" t="inlineStr">
        <is>
          <t>ГК Российское Молоко</t>
        </is>
      </c>
      <c r="B38" s="17" t="inlineStr">
        <is>
          <t>молочка</t>
        </is>
      </c>
      <c r="C38" s="18" t="n">
        <v>27.7</v>
      </c>
      <c r="D38" s="19" t="n">
        <v>24.8</v>
      </c>
      <c r="E38" s="22" t="inlineStr">
        <is>
          <t>н/д</t>
        </is>
      </c>
      <c r="F38" s="22" t="inlineStr">
        <is>
          <t>н/д</t>
        </is>
      </c>
      <c r="G38" s="22" t="inlineStr">
        <is>
          <t>н/д</t>
        </is>
      </c>
      <c r="H38" s="22" t="inlineStr">
        <is>
          <t>н/д</t>
        </is>
      </c>
    </row>
    <row r="39" ht="36" customHeight="1">
      <c r="A39" s="13" t="inlineStr">
        <is>
          <t>ГК Экомилк</t>
        </is>
      </c>
      <c r="B39" s="13" t="inlineStr">
        <is>
          <t>молочка</t>
        </is>
      </c>
      <c r="C39" s="14" t="n">
        <v>27.6</v>
      </c>
      <c r="D39" s="15" t="n">
        <v>19</v>
      </c>
      <c r="E39" s="21" t="inlineStr">
        <is>
          <t>н/д</t>
        </is>
      </c>
      <c r="F39" s="21" t="inlineStr">
        <is>
          <t>н/д</t>
        </is>
      </c>
      <c r="G39" s="21" t="inlineStr">
        <is>
          <t>н/д</t>
        </is>
      </c>
      <c r="H39" s="21" t="inlineStr">
        <is>
          <t>н/д</t>
        </is>
      </c>
    </row>
    <row r="40" ht="36" customHeight="1">
      <c r="A40" s="17" t="inlineStr">
        <is>
          <t>АМП Дамол</t>
        </is>
      </c>
      <c r="B40" s="17" t="inlineStr">
        <is>
          <t>молочка</t>
        </is>
      </c>
      <c r="C40" s="18" t="n">
        <v>26.8</v>
      </c>
      <c r="D40" s="19" t="n">
        <v>3.1</v>
      </c>
      <c r="E40" s="22" t="inlineStr">
        <is>
          <t>н/д</t>
        </is>
      </c>
      <c r="F40" s="22" t="inlineStr">
        <is>
          <t>н/д</t>
        </is>
      </c>
      <c r="G40" s="22" t="inlineStr">
        <is>
          <t>н/д</t>
        </is>
      </c>
      <c r="H40" s="22" t="inlineStr">
        <is>
          <t>н/д</t>
        </is>
      </c>
    </row>
    <row r="41" ht="36" customHeight="1">
      <c r="A41" s="13" t="inlineStr">
        <is>
          <t>ГК Русское молоко</t>
        </is>
      </c>
      <c r="B41" s="13" t="inlineStr">
        <is>
          <t>молочка</t>
        </is>
      </c>
      <c r="C41" s="14" t="n">
        <v>24.8</v>
      </c>
      <c r="D41" s="15" t="n">
        <v>17.5</v>
      </c>
      <c r="E41" s="21" t="inlineStr">
        <is>
          <t>н/д</t>
        </is>
      </c>
      <c r="F41" s="21" t="inlineStr">
        <is>
          <t>н/д</t>
        </is>
      </c>
      <c r="G41" s="21" t="inlineStr">
        <is>
          <t>н/д</t>
        </is>
      </c>
      <c r="H41" s="21" t="inlineStr">
        <is>
          <t>н/д</t>
        </is>
      </c>
    </row>
    <row r="42" ht="36" customHeight="1">
      <c r="A42" s="17" t="inlineStr">
        <is>
          <t>ГК РостАгроКомплекс</t>
        </is>
      </c>
      <c r="B42" s="17" t="inlineStr">
        <is>
          <t>молочка / творожные</t>
        </is>
      </c>
      <c r="C42" s="18" t="n">
        <v>24.4</v>
      </c>
      <c r="D42" s="19" t="n">
        <v>9.4</v>
      </c>
      <c r="E42" s="22" t="inlineStr">
        <is>
          <t>н/д</t>
        </is>
      </c>
      <c r="F42" s="22" t="inlineStr">
        <is>
          <t>н/д</t>
        </is>
      </c>
      <c r="G42" s="22" t="inlineStr">
        <is>
          <t>н/д</t>
        </is>
      </c>
      <c r="H42" s="22" t="inlineStr">
        <is>
          <t>н/д</t>
        </is>
      </c>
    </row>
    <row r="43" ht="36" customHeight="1">
      <c r="A43" s="13" t="inlineStr">
        <is>
          <t>ГК Сыробогатов</t>
        </is>
      </c>
      <c r="B43" s="13" t="inlineStr">
        <is>
          <t>сыр</t>
        </is>
      </c>
      <c r="C43" s="14" t="n">
        <v>23.1</v>
      </c>
      <c r="D43" s="15" t="n">
        <v>54</v>
      </c>
      <c r="E43" s="21" t="inlineStr">
        <is>
          <t>н/д</t>
        </is>
      </c>
      <c r="F43" s="21" t="inlineStr">
        <is>
          <t>н/д</t>
        </is>
      </c>
      <c r="G43" s="21" t="inlineStr">
        <is>
          <t>н/д</t>
        </is>
      </c>
      <c r="H43" s="21" t="inlineStr">
        <is>
          <t>н/д</t>
        </is>
      </c>
    </row>
    <row r="44" ht="36" customHeight="1">
      <c r="A44" s="17" t="inlineStr">
        <is>
          <t>Арнест ЮниРусь</t>
        </is>
      </c>
      <c r="B44" s="17" t="inlineStr">
        <is>
          <t>молочка / мороженое</t>
        </is>
      </c>
      <c r="C44" s="18" t="n">
        <v>22.5</v>
      </c>
      <c r="D44" s="19" t="n">
        <v>15.4</v>
      </c>
      <c r="E44" s="22" t="inlineStr">
        <is>
          <t>н/д</t>
        </is>
      </c>
      <c r="F44" s="22" t="inlineStr">
        <is>
          <t>н/д</t>
        </is>
      </c>
      <c r="G44" s="22" t="inlineStr">
        <is>
          <t>н/д</t>
        </is>
      </c>
      <c r="H44" s="22" t="inlineStr">
        <is>
          <t>н/д</t>
        </is>
      </c>
    </row>
    <row r="45" ht="36" customHeight="1">
      <c r="A45" s="13" t="inlineStr">
        <is>
          <t>Нэфис Косметикс</t>
        </is>
      </c>
      <c r="B45" s="13" t="inlineStr">
        <is>
          <t>бытовая химия</t>
        </is>
      </c>
      <c r="C45" s="14" t="n">
        <v>21.5</v>
      </c>
      <c r="D45" s="15" t="n">
        <v>-1.5</v>
      </c>
      <c r="E45" s="14" t="n">
        <v>-1.2</v>
      </c>
      <c r="F45" s="21" t="inlineStr">
        <is>
          <t>н/д</t>
        </is>
      </c>
      <c r="G45" s="21" t="inlineStr">
        <is>
          <t>н/д</t>
        </is>
      </c>
      <c r="H45" s="21" t="inlineStr">
        <is>
          <t>н/д</t>
        </is>
      </c>
    </row>
    <row r="46" ht="36" customHeight="1">
      <c r="A46" s="17" t="inlineStr">
        <is>
          <t>Агрокомплекс им. Н.И. Ткачёва (молочный контур)</t>
        </is>
      </c>
      <c r="B46" s="17" t="inlineStr">
        <is>
          <t>молочка / агро, Юг</t>
        </is>
      </c>
      <c r="C46" s="18" t="n">
        <v>20.7</v>
      </c>
      <c r="D46" s="19" t="n">
        <v>23.2</v>
      </c>
      <c r="E46" s="22" t="inlineStr">
        <is>
          <t>н/д</t>
        </is>
      </c>
      <c r="F46" s="22" t="inlineStr">
        <is>
          <t>н/д</t>
        </is>
      </c>
      <c r="G46" s="22" t="inlineStr">
        <is>
          <t>н/д</t>
        </is>
      </c>
      <c r="H46" s="22" t="inlineStr">
        <is>
          <t>н/д</t>
        </is>
      </c>
    </row>
    <row r="47" ht="36" customHeight="1">
      <c r="A47" s="13" t="inlineStr">
        <is>
          <t>ГК Доминант (молочный контур)</t>
        </is>
      </c>
      <c r="B47" s="13" t="inlineStr">
        <is>
          <t>молочка / сахар смежно</t>
        </is>
      </c>
      <c r="C47" s="14" t="n">
        <v>18.4</v>
      </c>
      <c r="D47" s="15" t="n">
        <v>18.7</v>
      </c>
      <c r="E47" s="21" t="inlineStr">
        <is>
          <t>н/д</t>
        </is>
      </c>
      <c r="F47" s="21" t="inlineStr">
        <is>
          <t>н/д</t>
        </is>
      </c>
      <c r="G47" s="21" t="inlineStr">
        <is>
          <t>н/д</t>
        </is>
      </c>
      <c r="H47" s="21" t="inlineStr">
        <is>
          <t>н/д</t>
        </is>
      </c>
    </row>
    <row r="48" ht="36" customHeight="1">
      <c r="A48" s="17" t="inlineStr">
        <is>
          <t>MLK Group (Ува-молоко)</t>
        </is>
      </c>
      <c r="B48" s="17" t="inlineStr">
        <is>
          <t>молочка</t>
        </is>
      </c>
      <c r="C48" s="18" t="n">
        <v>18.2</v>
      </c>
      <c r="D48" s="19" t="n">
        <v>8.300000000000001</v>
      </c>
      <c r="E48" s="22" t="inlineStr">
        <is>
          <t>н/д</t>
        </is>
      </c>
      <c r="F48" s="22" t="inlineStr">
        <is>
          <t>н/д</t>
        </is>
      </c>
      <c r="G48" s="22" t="inlineStr">
        <is>
          <t>н/д</t>
        </is>
      </c>
      <c r="H48" s="22" t="inlineStr">
        <is>
          <t>н/д</t>
        </is>
      </c>
    </row>
    <row r="49" ht="36" customHeight="1">
      <c r="A49" s="13" t="inlineStr">
        <is>
          <t>Ровеньки-Маслосырзавод</t>
        </is>
      </c>
      <c r="B49" s="13" t="inlineStr">
        <is>
          <t>сыр / молочка</t>
        </is>
      </c>
      <c r="C49" s="14" t="n">
        <v>18.1</v>
      </c>
      <c r="D49" s="15" t="n">
        <v>2.8</v>
      </c>
      <c r="E49" s="21" t="inlineStr">
        <is>
          <t>н/д</t>
        </is>
      </c>
      <c r="F49" s="21" t="inlineStr">
        <is>
          <t>н/д</t>
        </is>
      </c>
      <c r="G49" s="21" t="inlineStr">
        <is>
          <t>н/д</t>
        </is>
      </c>
      <c r="H49" s="21" t="inlineStr">
        <is>
          <t>н/д</t>
        </is>
      </c>
    </row>
    <row r="50" ht="36" customHeight="1">
      <c r="A50" s="17" t="inlineStr">
        <is>
          <t>Брянский молочный комбинат</t>
        </is>
      </c>
      <c r="B50" s="17" t="inlineStr">
        <is>
          <t>молочка</t>
        </is>
      </c>
      <c r="C50" s="18" t="n">
        <v>18</v>
      </c>
      <c r="D50" s="19" t="n">
        <v>12.5</v>
      </c>
      <c r="E50" s="22" t="inlineStr">
        <is>
          <t>н/д</t>
        </is>
      </c>
      <c r="F50" s="22" t="inlineStr">
        <is>
          <t>н/д</t>
        </is>
      </c>
      <c r="G50" s="22" t="inlineStr">
        <is>
          <t>н/д</t>
        </is>
      </c>
      <c r="H50" s="22" t="inlineStr">
        <is>
          <t>н/д</t>
        </is>
      </c>
    </row>
    <row r="51" ht="36" customHeight="1">
      <c r="A51" s="13" t="inlineStr">
        <is>
          <t>ГК Мультипро</t>
        </is>
      </c>
      <c r="B51" s="13" t="inlineStr">
        <is>
          <t>молочка / ингредиенты</t>
        </is>
      </c>
      <c r="C51" s="14" t="n">
        <v>17.3</v>
      </c>
      <c r="D51" s="15" t="n">
        <v>14.6</v>
      </c>
      <c r="E51" s="21" t="inlineStr">
        <is>
          <t>н/д</t>
        </is>
      </c>
      <c r="F51" s="21" t="inlineStr">
        <is>
          <t>н/д</t>
        </is>
      </c>
      <c r="G51" s="21" t="inlineStr">
        <is>
          <t>н/д</t>
        </is>
      </c>
      <c r="H51" s="21" t="inlineStr">
        <is>
          <t>н/д</t>
        </is>
      </c>
    </row>
    <row r="52" ht="36" customHeight="1">
      <c r="A52" s="17" t="inlineStr">
        <is>
          <t>Зеленодольский МК</t>
        </is>
      </c>
      <c r="B52" s="17" t="inlineStr">
        <is>
          <t>молочка</t>
        </is>
      </c>
      <c r="C52" s="18" t="n">
        <v>17.2</v>
      </c>
      <c r="D52" s="19" t="n">
        <v>11</v>
      </c>
      <c r="E52" s="22" t="inlineStr">
        <is>
          <t>н/д</t>
        </is>
      </c>
      <c r="F52" s="22" t="inlineStr">
        <is>
          <t>н/д</t>
        </is>
      </c>
      <c r="G52" s="22" t="inlineStr">
        <is>
          <t>н/д</t>
        </is>
      </c>
      <c r="H52" s="22" t="inlineStr">
        <is>
          <t>н/д</t>
        </is>
      </c>
    </row>
    <row r="53" ht="36" customHeight="1">
      <c r="A53" s="13" t="inlineStr">
        <is>
          <t>Лебедяньмолоко</t>
        </is>
      </c>
      <c r="B53" s="13" t="inlineStr">
        <is>
          <t>молочка</t>
        </is>
      </c>
      <c r="C53" s="14" t="n">
        <v>17.2</v>
      </c>
      <c r="D53" s="15" t="n">
        <v>25.5</v>
      </c>
      <c r="E53" s="21" t="inlineStr">
        <is>
          <t>н/д</t>
        </is>
      </c>
      <c r="F53" s="21" t="inlineStr">
        <is>
          <t>н/д</t>
        </is>
      </c>
      <c r="G53" s="21" t="inlineStr">
        <is>
          <t>н/д</t>
        </is>
      </c>
      <c r="H53" s="21" t="inlineStr">
        <is>
          <t>н/д</t>
        </is>
      </c>
    </row>
    <row r="54" ht="36" customHeight="1">
      <c r="A54" s="17" t="inlineStr">
        <is>
          <t>Froneri Россия</t>
        </is>
      </c>
      <c r="B54" s="17" t="inlineStr">
        <is>
          <t>мороженое</t>
        </is>
      </c>
      <c r="C54" s="18" t="n">
        <v>15.9</v>
      </c>
      <c r="D54" s="19" t="n">
        <v>16</v>
      </c>
      <c r="E54" s="22" t="inlineStr">
        <is>
          <t>н/д</t>
        </is>
      </c>
      <c r="F54" s="22" t="inlineStr">
        <is>
          <t>н/д</t>
        </is>
      </c>
      <c r="G54" s="22" t="inlineStr">
        <is>
          <t>н/д</t>
        </is>
      </c>
      <c r="H54" s="22" t="inlineStr">
        <is>
          <t>н/д</t>
        </is>
      </c>
    </row>
    <row r="55" ht="36" customHeight="1">
      <c r="A55" s="13" t="inlineStr">
        <is>
          <t>ГК Руслакто</t>
        </is>
      </c>
      <c r="B55" s="13" t="inlineStr">
        <is>
          <t>молочка</t>
        </is>
      </c>
      <c r="C55" s="14" t="n">
        <v>14.6</v>
      </c>
      <c r="D55" s="15" t="n">
        <v>10.6</v>
      </c>
      <c r="E55" s="21" t="inlineStr">
        <is>
          <t>н/д</t>
        </is>
      </c>
      <c r="F55" s="21" t="inlineStr">
        <is>
          <t>н/д</t>
        </is>
      </c>
      <c r="G55" s="21" t="inlineStr">
        <is>
          <t>н/д</t>
        </is>
      </c>
      <c r="H55" s="21" t="inlineStr">
        <is>
          <t>н/д</t>
        </is>
      </c>
    </row>
    <row r="56" ht="36" customHeight="1">
      <c r="A56" s="17" t="inlineStr">
        <is>
          <t>ГК ВАМИН</t>
        </is>
      </c>
      <c r="B56" s="17" t="inlineStr">
        <is>
          <t>молочка, Татарстан</t>
        </is>
      </c>
      <c r="C56" s="18" t="n">
        <v>14.5</v>
      </c>
      <c r="D56" s="19" t="n">
        <v>11.5</v>
      </c>
      <c r="E56" s="22" t="inlineStr">
        <is>
          <t>н/д</t>
        </is>
      </c>
      <c r="F56" s="22" t="inlineStr">
        <is>
          <t>н/д</t>
        </is>
      </c>
      <c r="G56" s="22" t="inlineStr">
        <is>
          <t>н/д</t>
        </is>
      </c>
      <c r="H56" s="22" t="inlineStr">
        <is>
          <t>н/д</t>
        </is>
      </c>
    </row>
    <row r="57" ht="36" customHeight="1">
      <c r="A57" s="13" t="inlineStr">
        <is>
          <t>СК Ичалковский / СЗ Сармич</t>
        </is>
      </c>
      <c r="B57" s="13" t="inlineStr">
        <is>
          <t>сыр / молочка</t>
        </is>
      </c>
      <c r="C57" s="14" t="n">
        <v>14.4</v>
      </c>
      <c r="D57" s="15" t="n">
        <v>9.9</v>
      </c>
      <c r="E57" s="21" t="inlineStr">
        <is>
          <t>н/д</t>
        </is>
      </c>
      <c r="F57" s="21" t="inlineStr">
        <is>
          <t>н/д</t>
        </is>
      </c>
      <c r="G57" s="21" t="inlineStr">
        <is>
          <t>н/д</t>
        </is>
      </c>
      <c r="H57" s="21" t="inlineStr">
        <is>
          <t>н/д</t>
        </is>
      </c>
    </row>
    <row r="58" ht="36" customHeight="1">
      <c r="A58" s="17" t="inlineStr">
        <is>
          <t>Ирбитский молочный завод</t>
        </is>
      </c>
      <c r="B58" s="17" t="inlineStr">
        <is>
          <t>молочка</t>
        </is>
      </c>
      <c r="C58" s="18" t="n">
        <v>14.1</v>
      </c>
      <c r="D58" s="19" t="n">
        <v>21.6</v>
      </c>
      <c r="E58" s="22" t="inlineStr">
        <is>
          <t>н/д</t>
        </is>
      </c>
      <c r="F58" s="22" t="inlineStr">
        <is>
          <t>н/д</t>
        </is>
      </c>
      <c r="G58" s="22" t="inlineStr">
        <is>
          <t>н/д</t>
        </is>
      </c>
      <c r="H58" s="22" t="inlineStr">
        <is>
          <t>н/д</t>
        </is>
      </c>
    </row>
    <row r="59" ht="36" customHeight="1">
      <c r="A59" s="13" t="inlineStr">
        <is>
          <t>ТнВ Сыр Стародубский</t>
        </is>
      </c>
      <c r="B59" s="13" t="inlineStr">
        <is>
          <t>сыр</t>
        </is>
      </c>
      <c r="C59" s="14" t="n">
        <v>14</v>
      </c>
      <c r="D59" s="15" t="n">
        <v>19.7</v>
      </c>
      <c r="E59" s="21" t="inlineStr">
        <is>
          <t>н/д</t>
        </is>
      </c>
      <c r="F59" s="21" t="inlineStr">
        <is>
          <t>н/д</t>
        </is>
      </c>
      <c r="G59" s="21" t="inlineStr">
        <is>
          <t>н/д</t>
        </is>
      </c>
      <c r="H59" s="21" t="inlineStr">
        <is>
          <t>н/д</t>
        </is>
      </c>
    </row>
    <row r="60" ht="36" customHeight="1">
      <c r="A60" s="17" t="inlineStr">
        <is>
          <t>МилкЭкспресс</t>
        </is>
      </c>
      <c r="B60" s="17" t="inlineStr">
        <is>
          <t>молочка</t>
        </is>
      </c>
      <c r="C60" s="18" t="n">
        <v>13.9</v>
      </c>
      <c r="D60" s="19" t="n">
        <v>18.8</v>
      </c>
      <c r="E60" s="22" t="inlineStr">
        <is>
          <t>н/д</t>
        </is>
      </c>
      <c r="F60" s="22" t="inlineStr">
        <is>
          <t>н/д</t>
        </is>
      </c>
      <c r="G60" s="22" t="inlineStr">
        <is>
          <t>н/д</t>
        </is>
      </c>
      <c r="H60" s="22" t="inlineStr">
        <is>
          <t>н/д</t>
        </is>
      </c>
    </row>
    <row r="61" ht="36" customHeight="1">
      <c r="A61" s="13" t="inlineStr">
        <is>
          <t>Пискарёвский молочный завод</t>
        </is>
      </c>
      <c r="B61" s="13" t="inlineStr">
        <is>
          <t>молочка, СЗФО</t>
        </is>
      </c>
      <c r="C61" s="14" t="n">
        <v>13.7</v>
      </c>
      <c r="D61" s="15" t="n">
        <v>12.3</v>
      </c>
      <c r="E61" s="21" t="inlineStr">
        <is>
          <t>н/д</t>
        </is>
      </c>
      <c r="F61" s="21" t="inlineStr">
        <is>
          <t>н/д</t>
        </is>
      </c>
      <c r="G61" s="21" t="inlineStr">
        <is>
          <t>н/д</t>
        </is>
      </c>
      <c r="H61" s="21" t="inlineStr">
        <is>
          <t>н/д</t>
        </is>
      </c>
    </row>
    <row r="62" ht="36" customHeight="1">
      <c r="A62" s="17" t="inlineStr">
        <is>
          <t>Барнаульский молочный комбинат</t>
        </is>
      </c>
      <c r="B62" s="17" t="inlineStr">
        <is>
          <t>молочка</t>
        </is>
      </c>
      <c r="C62" s="18" t="n">
        <v>13.1</v>
      </c>
      <c r="D62" s="19" t="n">
        <v>11</v>
      </c>
      <c r="E62" s="22" t="inlineStr">
        <is>
          <t>н/д</t>
        </is>
      </c>
      <c r="F62" s="22" t="inlineStr">
        <is>
          <t>н/д</t>
        </is>
      </c>
      <c r="G62" s="22" t="inlineStr">
        <is>
          <t>н/д</t>
        </is>
      </c>
      <c r="H62" s="22" t="inlineStr">
        <is>
          <t>н/д</t>
        </is>
      </c>
    </row>
    <row r="63" ht="36" customHeight="1">
      <c r="A63" s="13" t="inlineStr">
        <is>
          <t>DMK Group</t>
        </is>
      </c>
      <c r="B63" s="13" t="inlineStr">
        <is>
          <t>молочка</t>
        </is>
      </c>
      <c r="C63" s="14" t="n">
        <v>13</v>
      </c>
      <c r="D63" s="15" t="n">
        <v>3.2</v>
      </c>
      <c r="E63" s="21" t="inlineStr">
        <is>
          <t>н/д</t>
        </is>
      </c>
      <c r="F63" s="21" t="inlineStr">
        <is>
          <t>н/д</t>
        </is>
      </c>
      <c r="G63" s="21" t="inlineStr">
        <is>
          <t>н/д</t>
        </is>
      </c>
      <c r="H63" s="21" t="inlineStr">
        <is>
          <t>н/д</t>
        </is>
      </c>
    </row>
    <row r="64" ht="36" customHeight="1">
      <c r="A64" s="17" t="inlineStr">
        <is>
          <t>ГК Галактика</t>
        </is>
      </c>
      <c r="B64" s="17" t="inlineStr">
        <is>
          <t>молочка</t>
        </is>
      </c>
      <c r="C64" s="18" t="n">
        <v>12.7</v>
      </c>
      <c r="D64" s="19" t="n">
        <v>9.5</v>
      </c>
      <c r="E64" s="22" t="inlineStr">
        <is>
          <t>н/д</t>
        </is>
      </c>
      <c r="F64" s="22" t="inlineStr">
        <is>
          <t>н/д</t>
        </is>
      </c>
      <c r="G64" s="22" t="inlineStr">
        <is>
          <t>н/д</t>
        </is>
      </c>
      <c r="H64" s="22" t="inlineStr">
        <is>
          <t>н/д</t>
        </is>
      </c>
    </row>
    <row r="65" ht="36" customHeight="1">
      <c r="A65" s="13" t="inlineStr">
        <is>
          <t>Виола</t>
        </is>
      </c>
      <c r="B65" s="13" t="inlineStr">
        <is>
          <t>сыр / молочка</t>
        </is>
      </c>
      <c r="C65" s="14" t="n">
        <v>12.3</v>
      </c>
      <c r="D65" s="15" t="n">
        <v>8.800000000000001</v>
      </c>
      <c r="E65" s="21" t="inlineStr">
        <is>
          <t>н/д</t>
        </is>
      </c>
      <c r="F65" s="21" t="inlineStr">
        <is>
          <t>н/д</t>
        </is>
      </c>
      <c r="G65" s="21" t="inlineStr">
        <is>
          <t>н/д</t>
        </is>
      </c>
      <c r="H65" s="21" t="inlineStr">
        <is>
          <t>н/д</t>
        </is>
      </c>
    </row>
  </sheetData>
  <autoFilter ref="A2:H65"/>
  <conditionalFormatting sqref="E3:E65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E93D8"/>
    <outlinePr summaryBelow="1" summaryRight="1"/>
    <pageSetUpPr fitToPage="1"/>
  </sheetPr>
  <dimension ref="A1:H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2" customHeight="1">
      <c r="A1" s="1" t="inlineStr">
        <is>
          <t>Молочка PepsiCo — уже внутри строки PepsiCo</t>
        </is>
      </c>
      <c r="B1" s="2" t="n"/>
      <c r="C1" s="2" t="n"/>
      <c r="D1" s="2" t="n"/>
      <c r="E1" s="2" t="n"/>
      <c r="F1" s="2" t="n"/>
      <c r="G1" s="2" t="n"/>
      <c r="H1" s="2" t="n"/>
    </row>
    <row r="2" ht="36" customHeight="1">
      <c r="A2" s="4" t="inlineStr">
        <is>
          <t>«Вимм-Билль-Данн» 162,3 млрд — это молочный кусок PepsiCo. На листе производителей PepsiCo = 398,8 млрд уже с этой молочкой. Не складывать.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36" customHeight="1">
      <c r="A4" s="12" t="inlineStr">
        <is>
          <t>Компания</t>
        </is>
      </c>
      <c r="B4" s="12" t="inlineStr">
        <is>
          <t>Тип / формат</t>
        </is>
      </c>
      <c r="C4" s="12" t="inlineStr">
        <is>
          <t>Выручка 2025, млрд ₽</t>
        </is>
      </c>
      <c r="D4" s="12" t="inlineStr">
        <is>
          <t>YoY, %</t>
        </is>
      </c>
      <c r="E4" s="12" t="inlineStr">
        <is>
          <t>Чистая прибыль 2025, млрд ₽</t>
        </is>
      </c>
      <c r="F4" s="12" t="inlineStr">
        <is>
          <t>Чистый долг, млрд ₽</t>
        </is>
      </c>
      <c r="G4" s="12" t="inlineStr">
        <is>
          <t>Магазины / заводы, шт</t>
        </is>
      </c>
      <c r="H4" s="12" t="inlineStr">
        <is>
          <t>Доля рынка Food, %</t>
        </is>
      </c>
    </row>
    <row r="5" ht="36" customHeight="1">
      <c r="A5" s="13" t="inlineStr">
        <is>
          <t>Вимм-Билль-Данн (молочка PepsiCo)</t>
        </is>
      </c>
      <c r="B5" s="13" t="inlineStr">
        <is>
          <t>молочка; внутри PepsiCo, не суммировать</t>
        </is>
      </c>
      <c r="C5" s="14" t="n">
        <v>162.3</v>
      </c>
      <c r="D5" s="15" t="n">
        <v>6.7</v>
      </c>
      <c r="E5" s="21" t="inlineStr">
        <is>
          <t>н/д</t>
        </is>
      </c>
      <c r="F5" s="21" t="inlineStr">
        <is>
          <t>н/д</t>
        </is>
      </c>
      <c r="G5" s="21" t="inlineStr">
        <is>
          <t>н/д</t>
        </is>
      </c>
      <c r="H5" s="21" t="inlineStr">
        <is>
          <t>н/д</t>
        </is>
      </c>
    </row>
  </sheetData>
  <autoFilter ref="A4:H5"/>
  <conditionalFormatting sqref="E5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F6C00"/>
    <outlinePr summaryBelow="1" summaryRight="1"/>
    <pageSetUpPr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92" customWidth="1" min="3" max="3"/>
    <col width="42" customWidth="1" min="4" max="4"/>
  </cols>
  <sheetData>
    <row r="1" ht="24" customHeight="1">
      <c r="A1" s="1" t="inlineStr">
        <is>
          <t>Разборы топ-10: что случилось, человеческим языком</t>
        </is>
      </c>
      <c r="B1" s="2" t="n"/>
      <c r="C1" s="2" t="n"/>
      <c r="D1" s="2" t="n"/>
    </row>
    <row r="2" ht="52" customHeight="1">
      <c r="A2" s="4" t="inlineStr">
        <is>
          <t>Это не рейтинг и не таблица цифр. Ниже — сюжет каждой компании словами: что произошло в 2025 году, почему так, и чем это не является (например, не «магазины опустели»). Цифры в таблицах «Сети» / «Производители» берутся из отчётности; колонка справа — статья, если захотите дочитать. Все сравнения — 2025 к 2024. Годового 2026 ещё нет.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 ht="28" customHeight="1">
      <c r="A4" s="12" t="inlineStr">
        <is>
          <t>№</t>
        </is>
      </c>
      <c r="B4" s="12" t="inlineStr">
        <is>
          <t>Кто</t>
        </is>
      </c>
      <c r="C4" s="12" t="inlineStr">
        <is>
          <t>Что случилось простыми словами</t>
        </is>
      </c>
      <c r="D4" s="12" t="inlineStr">
        <is>
          <t>Где читать</t>
        </is>
      </c>
    </row>
    <row r="5" ht="132" customHeight="1">
      <c r="A5" s="25" t="n">
        <v>1</v>
      </c>
      <c r="B5" s="26" t="inlineStr">
        <is>
          <t>X5 Group</t>
        </is>
      </c>
      <c r="C5" s="27" t="inlineStr">
        <is>
          <t>Люди в Пятёрочку, Перекрёсток и Чижик ходили как ходили: за год в кассах оказалось 4,64 трлн ₽ — на 19% больше, чем в 2024-м. Казалось бы, отличный год. Но в карман компании легло меньше: чистая прибыль упала на 14%, до 94,8 млрд. Почему так, если магазины не пустые? Три понятные причины. Первая — кредиты стали дороже, и тело долга больше, поэтому банкам ушло больше процентов. Вторая — разово отложили 4,1 млрд «на всякий случай», если кто-то из партнёров не расплатится. Третья — владельцам щедро вернули деньги: дивиденды около 159 млрд и выкуп своих акций около 45 млрд. Это не дыра в магазинах, а раздача кэша акционерам. Коротко: полка живая, меньше стало не покупок, а того, что осталось после банков и дивидендов.</t>
        </is>
      </c>
      <c r="D5" s="28" t="inlineStr">
        <is>
          <t>Разбор vc.ru</t>
        </is>
      </c>
    </row>
    <row r="6" ht="132" customHeight="1">
      <c r="A6" s="25" t="n">
        <v>2</v>
      </c>
      <c r="B6" s="26" t="inlineStr">
        <is>
          <t>Магнит</t>
        </is>
      </c>
      <c r="C6" s="27" t="inlineStr">
        <is>
          <t>Та же история на кассе и другая внизу отчёта. Выручка выросла на 15%, до 3,51 трлн ₽ — люди покупали. А прибыли нет: убыток 16,6 млрд. Годом раньше была прибыль около 50 млрд. То есть за один год компания перешла из «заработали» в «ушли в минус», хотя магазины не опустели. Деньги в 2025 году стоили очень дорого: средняя ставка по долгу 17,1%, одних процентов набежало больше 82 млрд. Плюс купили «Азбуку вкуса» и «Самбери». Юрлицо, которое реально крутит магазины, — «Тандер» — впервые за двадцать с лишним лет закончило год в минусе. Это не «покупатели ушли». Это проценты по кредитам съели результат. Около 33 тысяч магазинов при этом работают.</t>
        </is>
      </c>
      <c r="D6" s="28" t="inlineStr">
        <is>
          <t>Коммерсантъ, убыток Магнита</t>
        </is>
      </c>
    </row>
    <row r="7" ht="132" customHeight="1">
      <c r="A7" s="25" t="n">
        <v>3</v>
      </c>
      <c r="B7" s="26" t="inlineStr">
        <is>
          <t>Магнит — долг</t>
        </is>
      </c>
      <c r="C7" s="27" t="inlineStr">
        <is>
          <t>У Магнита самый тяжёлый рюкзак из крупных сетей: чистый долг почти удвоился и дошёл до 496 млрд ₽. Весь долг ещё больше — 746 млрд. Примерно половина — кредиты банков, половина — облигации на Московской бирже (их купили фонды, банки, частные инвесторы; поимённый список компания не публикует, так устроен рынок). Сама компания говорит: во втором полугодии нарочно набрала лишних денег, чтобы заранее закрыть погашения 2026 года, а не потому что в кассах кончились деньги. Признаков дефолта нет: магазины работают, отчётность выходит, облигации торгуются. Но это уже не спокойный долг. Если ставка останется высокой, проценты будут и дальше съедать прибыль. За чем следить: сможет ли перекредитоваться дешевле.</t>
        </is>
      </c>
      <c r="D7" s="28" t="inlineStr">
        <is>
          <t>Годовой обзор Магнита, структура долга</t>
        </is>
      </c>
    </row>
    <row r="8" ht="132" customHeight="1">
      <c r="A8" s="25" t="n">
        <v>4</v>
      </c>
      <c r="B8" s="26" t="inlineStr">
        <is>
          <t>Лента</t>
        </is>
      </c>
      <c r="C8" s="27" t="inlineStr">
        <is>
          <t>Полная противоположность Магниту. И выручка выросла, и прибыль выросла. Чистый долг не раздулся, а наоборот упал: было 60,9 млрд, стало 48,8. Это в 23 раза меньше, чем у Магнита. Закрыть такой долг хватило бы меньше чем года обычной прибыли. Перед кем должна: только банкам, облигаций в 2025 ещё не было. На счетах лежит 51 млрд кэша — почти столько же, сколько короткий долг. Три рейтинговых агентства весной 2026 поставили оценки уровня AA+: «высокая надёжность». Развалится ли сеть? По открытым данным — нет. Долг появился как у любой крупной сети: товар на складе, стройка магазинов, покупка «Монетки», «Реми», «Улыбки радуги». Это рабочий инструмент, не признак краха.</t>
        </is>
      </c>
      <c r="D8" s="28" t="inlineStr">
        <is>
          <t>НКР, рейтинг AA+ Ленты</t>
        </is>
      </c>
    </row>
    <row r="9" ht="132" customHeight="1">
      <c r="A9" s="25" t="n">
        <v>5</v>
      </c>
      <c r="B9" s="26" t="inlineStr">
        <is>
          <t>Лента — отчёт</t>
        </is>
      </c>
      <c r="C9" s="27" t="inlineStr">
        <is>
          <t>То же самое словами самой компании. В годовом отчёте за 2025-й: выручка 1,1 трлн ₽, прибыль 38,2 млрд, на счетах 51 млрд. Рост дали «Монетка», супермаркеты и купленные вывески. Этот отчёт — первоисточник к строке «Лента» в таблице, а не пересказ чужих слухов.</t>
        </is>
      </c>
      <c r="D9" s="28" t="inlineStr">
        <is>
          <t>Годовой отчёт Ленты 2025</t>
        </is>
      </c>
    </row>
    <row r="10" ht="132" customHeight="1">
      <c r="A10" s="25" t="n">
        <v>6</v>
      </c>
      <c r="B10" s="26" t="inlineStr">
        <is>
          <t>Mercury / К&amp;Б</t>
        </is>
      </c>
      <c r="C10" s="27" t="inlineStr">
        <is>
          <t>«Красное &amp; Белое» плюс «Бристоль» вместе продали на 1,66 трлн ₽ — на 20% больше, чем годом раньше. Сводного отчёта на весь холдинг нет, поэтому чистого долга группы в таблице нет: это не «скрыли крах», а просто не публикуют общую картину. Зато по юрлицу «Альфа-М» (это К&amp;Б) видно: с убытка 2024 года вышли на прибыль 26 млрд. Владельцы сняли большие дивиденды — десятки миллиардов. Так делают, когда кэш есть, а не когда спасают сеть. В начале 2026-го К&amp;Б впервые чуть сократила число магазинов (минус 4 точки). Это замедление, не развал.</t>
        </is>
      </c>
      <c r="D10" s="28" t="inlineStr">
        <is>
          <t>Malls.ru, дивиденды Mercury</t>
        </is>
      </c>
    </row>
    <row r="11" ht="132" customHeight="1">
      <c r="A11" s="25" t="n">
        <v>7</v>
      </c>
      <c r="B11" s="26" t="inlineStr">
        <is>
          <t>Светофор</t>
        </is>
      </c>
      <c r="C11" s="27" t="inlineStr">
        <is>
          <t>Единственный крупный хард-дискаунтер, который сжался. Выручка −3%, закрыли 315 магазинов. Из этого часто делают вывод «формат дешёвых магазинов умер». Это не так. Формат жив: «Чижик» внутри X5 вырос на 67% и дошёл до 418 млрд ₽. У самого «Светофора» своя история: конкуренция с Чижиком, вопросы к качеству части точек и проверки Роспотребнадзора. Коротко: дешёвый магазин у дома никуда не делся, сжался конкретный бренд «Светофор».</t>
        </is>
      </c>
      <c r="D11" s="28" t="inlineStr">
        <is>
          <t>Retailer.ru / Ведомости</t>
        </is>
      </c>
    </row>
    <row r="12" ht="132" customHeight="1">
      <c r="A12" s="25" t="n">
        <v>8</v>
      </c>
      <c r="B12" s="26" t="inlineStr">
        <is>
          <t>PepsiCo vs Русагро</t>
        </is>
      </c>
      <c r="C12" s="27" t="inlineStr">
        <is>
          <t>Два гиганта еды закончили год почти вничью: PepsiCo Россия 399 млрд ₽, Русагро 397. PepsiCo — это напитки, снеки и молочка «Вимм-Билль-Данн». Русагро догнала не потому, что масло вдруг стали лучше брать. В компанию полностью вошло «Агро-Белогорье», мясная выручка подскочила на 71%. Это рост «купили завод», а не «полка лучше продалась». При этом заработать Русагро стала меньше: прибыль упала в 1,6 раза, до 19,9 млрд. Льготные сельхозкредиты подорожали, рубль окреп — на валютной подушке получился минус. Долг вырос. Продаж почти как у PepsiCo, денег в кармане — меньше.</t>
        </is>
      </c>
      <c r="D12" s="28" t="inlineStr">
        <is>
          <t>Интерфакс, прибыль Русагро</t>
        </is>
      </c>
    </row>
    <row r="13" ht="132" customHeight="1">
      <c r="A13" s="25" t="n">
        <v>9</v>
      </c>
      <c r="B13" s="26" t="inlineStr">
        <is>
          <t>Черкизово</t>
        </is>
      </c>
      <c r="C13" s="27" t="inlineStr">
        <is>
          <t>Продали на 11% больше — 289 млрд ₽. В заголовках часто пишут «прибыль 30 млрд», и это звучит как праздник. Но если убрать бумажную переоценку свиней и кур на балансе, «очищенная» прибыль 19,5 млрд — даже чуть ниже, чем годом раньше. Долг 140 млрд, примерно 2,5 года обычной прибыли, за год почти не вырос. Картина спокойная, не рывок и не провал.</t>
        </is>
      </c>
      <c r="D13" s="28" t="inlineStr">
        <is>
          <t>Пресс-релиз Черкизово</t>
        </is>
      </c>
    </row>
    <row r="14" ht="132" customHeight="1">
      <c r="A14" s="25" t="n">
        <v>10</v>
      </c>
      <c r="B14" s="26" t="inlineStr">
        <is>
          <t>Логика молока vs ВБД</t>
        </is>
      </c>
      <c r="C14" s="27" t="inlineStr">
        <is>
          <t>Несколько лет молочную полку по выручке возглавлял «Вимм-Билль-Данн» — это кусок PepsiCo, «Домик в деревне», «Чудо». В 2025-м первое место впервые взяла «Логика молока»: 167 млрд против 162 млрд у ВБД. Кто это: бывшие заводы Danone — «Простоквашино», «Растишка», «Тема». С 2024 года они под российским контролем. Почему обогнали: весь год росли быстрее, а в декабре докупили мороженое «Новосибхолод» / «Полярис» — и этого хватило, чтобы вырваться. Важно: 162 млрд ВБД уже входят в 399 млрд PepsiCo. Складывать их ещё раз нельзя — получится двойной счёт.</t>
        </is>
      </c>
      <c r="D14" s="28" t="inlineStr">
        <is>
          <t>Союзмолоко / Интерфакс</t>
        </is>
      </c>
    </row>
    <row r="15" ht="132" customHeight="1">
      <c r="A15" s="25" t="n">
        <v>11</v>
      </c>
      <c r="B15" s="26" t="inlineStr">
        <is>
          <t>Топ-10 еды INFOLine</t>
        </is>
      </c>
      <c r="C15" s="27" t="inlineStr">
        <is>
          <t>Десять крупнейших производителей еды и напитков вместе отгрузили на 3 трлн ₽ — рост всего 9%. Сети при этом росли примерно на 16%. Товар по-прежнему везут с заводов: сеть сама еду не производит (кроме редких своих цехов). Меняется другое: на пачке всё чаще марка магазина, а не Pepsi или «Домик в деревне». Завод есть, но это часто контрактный завод или тот же без брендовой наценки. В дискаунтере короткая полка — брендам меньше места. Поэтому кассы сетей растут быстрее, чем выручка известных заводов из рейтинга. Раньше наверху стояли глобальные бренды. Сейчас пять из десяти — российские агрохолдинги «от поля до прилавка». Не у всех год был про рост: ЭФКО выручку не нарастила совсем, KDV почти остановилась (+1%).</t>
        </is>
      </c>
      <c r="D15" s="28" t="inlineStr">
        <is>
          <t>Агроинвестор / INFOLine Food&amp;Drink</t>
        </is>
      </c>
    </row>
    <row r="16" ht="132" customHeight="1">
      <c r="A16" s="25" t="n">
        <v>12</v>
      </c>
      <c r="B16" s="26" t="inlineStr">
        <is>
          <t>«Тандер» Магнита</t>
        </is>
      </c>
      <c r="C16" s="27" t="inlineStr">
        <is>
          <t>«Тандер» — это не отдельная сеть на полке, а юрлицо, которое реально крутит магазины «Магнита». В 2025 году оно впервые с начала 2000-х закончило год с убытком (порядка 22 млрд). Заголовки звучат страшно, смысл тот же, что у всей группы: не «покупатели разбежались», а дорогие кредиты и вложения в развитие. Магнит сам так и объясняет. Магазины при этом работают. Это тот же сюжет, что в строке «Магнит», только на уровне конкретной компании в ЕГРЮЛ.</t>
        </is>
      </c>
      <c r="D16" s="28" t="inlineStr">
        <is>
          <t>РБК, убыток Тандера</t>
        </is>
      </c>
    </row>
  </sheetData>
  <autoFilter ref="A4:D16"/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607D8B"/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4" customWidth="1" min="1" max="1"/>
  </cols>
  <sheetData>
    <row r="1" ht="24" customHeight="1">
      <c r="A1" s="1" t="inlineStr">
        <is>
          <t>Откуда цифры в таблицах</t>
        </is>
      </c>
    </row>
    <row r="2">
      <c r="A2" s="2" t="n"/>
    </row>
    <row r="3" ht="36" customHeight="1">
      <c r="A3" s="4" t="inlineStr">
        <is>
          <t>Иерархия: 1) МСФО эмитента  2) INFOLine  3) РСБУ конкретного юрлица  4) Ведомости / Т-Ж / Союзмолоко. При расхождении в ячейке — верхний уровень.</t>
        </is>
      </c>
    </row>
    <row r="4" ht="36" customHeight="1">
      <c r="A4" s="4" t="inlineStr">
        <is>
          <t>INFOLine: топ-10 сетей ≈ 12,7 трлн (+16,1%); Food&amp;Drink топ-10 заводов = 3 трлн (+9,1%); e-grocery 2025 (Самокат 279,3; Лавка 203,1; Ozon 207,2).</t>
        </is>
      </c>
    </row>
    <row r="5" ht="36" customHeight="1">
      <c r="A5" s="4" t="inlineStr">
        <is>
          <t>X5 МСФО 2025 / e-disclosure: 4 642 млрд, прибыль 94,8, долг 228,5 до IFRS 16, 0,84× EBITDA, лимиты 773 млрд. Онлайн 285,7.</t>
        </is>
      </c>
    </row>
    <row r="6" ht="36" customHeight="1">
      <c r="A6" s="4" t="inlineStr">
        <is>
          <t>Магнит МСФО 2025: 3 509,2; убыток 16,6; долг 496 / всего 746 (кредиты 48,6%, облигации 50,8%), 2,9× EBITDA.</t>
        </is>
      </c>
    </row>
    <row r="7" ht="36" customHeight="1">
      <c r="A7" s="4" t="inlineStr">
        <is>
          <t>Лента МСФО 2025: 1 103,7; прибыль 38,2; чистый долг 48,8; кэш 51,1; 0,6× EBITDA. НКР: долг = банковские кредиты.</t>
        </is>
      </c>
    </row>
    <row r="8" ht="36" customHeight="1">
      <c r="A8" s="4" t="inlineStr">
        <is>
          <t>Fix Price 12М 2025: 313,3 / прибыль 11,18 / 7 818 магазинов. Винлаб МСФО: 95,1 / 3,5 / кэш 6,5 / 2 175 магазинов.</t>
        </is>
      </c>
    </row>
    <row r="9" ht="36" customHeight="1">
      <c r="A9" s="4" t="inlineStr">
        <is>
          <t>Верный РСБУ 154,4. SPAR МВ 136,3. Семишагофф 70,67. Линия 44. Европа Курск 31. Сибирские РСБУ — ksonline / Асефера / Толк.</t>
        </is>
      </c>
    </row>
    <row r="10" ht="36" customHeight="1">
      <c r="A10" s="4" t="inlineStr">
        <is>
          <t>Союзмолоко / Milknews 2025 — переработчики молока. Русагро и Черкизово — МСФО. Балтика, Прогресс, Эссен, Сады Придонья, Орими, Нэфис — РСБУ.</t>
        </is>
      </c>
    </row>
    <row r="11" ht="36" customHeight="1">
      <c r="A11" s="4" t="inlineStr">
        <is>
          <t>Т-Ж 15.06.2026 — прибыль сетей по INFOLine. Ведомости / EcomHub — Mercury 1,66; Ашан 250; О'КЕЙ 196; ТК Лето 176.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2026-10-13T15:34:43Z</dcterms:created>
  <dcterms:modified xsi:type="dcterms:W3CDTF">2026-10-13T15:34:43Z</dcterms:modified>
</cp:coreProperties>
</file>